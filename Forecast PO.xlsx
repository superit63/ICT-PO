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ncotecvn-my.sharepoint.com/personal/louis_tran_incotec_vn/Documents/DATA1/SODEL/13. Weekly meeting/"/>
    </mc:Choice>
  </mc:AlternateContent>
  <xr:revisionPtr revIDLastSave="6" documentId="8_{F39E4125-19FE-42F7-A4BA-A21FA223EFD0}" xr6:coauthVersionLast="47" xr6:coauthVersionMax="47" xr10:uidLastSave="{EBFC6FFD-A722-4BF7-A1CC-8891E708CF3F}"/>
  <bookViews>
    <workbookView xWindow="-110" yWindow="-110" windowWidth="19420" windowHeight="11500" xr2:uid="{781C1592-9F08-4D5C-9473-8A29269BA2BD}"/>
  </bookViews>
  <sheets>
    <sheet name="DK đặt hàng" sheetId="6" r:id="rId1"/>
    <sheet name="NXT" sheetId="5" r:id="rId2"/>
    <sheet name="Tồn kho" sheetId="2" r:id="rId3"/>
    <sheet name="Output" sheetId="1" r:id="rId4"/>
    <sheet name="Detail" sheetId="4" r:id="rId5"/>
  </sheets>
  <externalReferences>
    <externalReference r:id="rId6"/>
    <externalReference r:id="rId7"/>
    <externalReference r:id="rId8"/>
    <externalReference r:id="rId9"/>
    <externalReference r:id="rId10"/>
  </externalReferences>
  <definedNames>
    <definedName name="_xlnm._FilterDatabase" localSheetId="4" hidden="1">Detail!$A$1:$AL$123</definedName>
    <definedName name="_Hlk196835118">'[5]Hằng DT'!#REF!</definedName>
    <definedName name="DATA_SALE_YTD">[1]!Table2[#All]</definedName>
    <definedName name="PLKhachhang">[2]!Table6[#Data]</definedName>
  </definedNames>
  <calcPr calcId="191029"/>
  <pivotCaches>
    <pivotCache cacheId="90" r:id="rId11"/>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6" l="1"/>
  <c r="N3" i="6"/>
  <c r="M4" i="6"/>
  <c r="M22" i="6" s="1"/>
  <c r="N4" i="6"/>
  <c r="M5" i="6"/>
  <c r="N5" i="6"/>
  <c r="N22" i="6" s="1"/>
  <c r="M6" i="6"/>
  <c r="N6" i="6"/>
  <c r="M7" i="6"/>
  <c r="N7" i="6"/>
  <c r="M8" i="6"/>
  <c r="N8" i="6"/>
  <c r="M9" i="6"/>
  <c r="N9" i="6"/>
  <c r="M10" i="6"/>
  <c r="N10" i="6"/>
  <c r="M11" i="6"/>
  <c r="N11" i="6"/>
  <c r="M12" i="6"/>
  <c r="N12" i="6"/>
  <c r="M13" i="6"/>
  <c r="N13" i="6"/>
  <c r="M14" i="6"/>
  <c r="N14" i="6"/>
  <c r="M15" i="6"/>
  <c r="N15" i="6"/>
  <c r="M16" i="6"/>
  <c r="N16" i="6"/>
  <c r="M17" i="6"/>
  <c r="N17" i="6"/>
  <c r="M18" i="6"/>
  <c r="N18" i="6"/>
  <c r="M19" i="6"/>
  <c r="N19" i="6"/>
  <c r="M20" i="6"/>
  <c r="N20" i="6"/>
  <c r="M21" i="6"/>
  <c r="N21" i="6"/>
  <c r="N2" i="6"/>
  <c r="M2" i="6"/>
  <c r="AT15" i="5"/>
  <c r="AT12" i="5"/>
  <c r="AT11" i="5"/>
  <c r="AT10" i="5"/>
  <c r="AT8" i="5"/>
  <c r="AT6" i="5"/>
  <c r="AT5" i="5"/>
  <c r="C5" i="5" s="1"/>
  <c r="AT3" i="5"/>
  <c r="C4" i="5"/>
  <c r="C6" i="5"/>
  <c r="C7" i="5"/>
  <c r="C8" i="5"/>
  <c r="C9" i="5"/>
  <c r="C10" i="5"/>
  <c r="C11" i="5"/>
  <c r="C12" i="5"/>
  <c r="C13" i="5"/>
  <c r="C14" i="5"/>
  <c r="C15" i="5"/>
  <c r="C3" i="5"/>
  <c r="E3" i="5"/>
  <c r="F3" i="5" s="1"/>
  <c r="I3" i="5" s="1"/>
  <c r="L3" i="5" s="1"/>
  <c r="O3" i="5" s="1"/>
  <c r="R3" i="5" s="1"/>
  <c r="U3" i="5" s="1"/>
  <c r="X3" i="5" s="1"/>
  <c r="AA3" i="5" s="1"/>
  <c r="AD3" i="5" s="1"/>
  <c r="AG3" i="5" s="1"/>
  <c r="AJ3" i="5" s="1"/>
  <c r="K3" i="5"/>
  <c r="N3" i="5"/>
  <c r="Q3" i="5"/>
  <c r="T3" i="5"/>
  <c r="W3" i="5"/>
  <c r="Y3" i="5"/>
  <c r="Z3" i="5"/>
  <c r="AC3" i="5"/>
  <c r="AF3" i="5"/>
  <c r="AH3" i="5"/>
  <c r="AI3" i="5"/>
  <c r="AN11" i="5"/>
  <c r="AN10" i="5"/>
  <c r="AN8" i="5"/>
  <c r="AN3" i="5"/>
  <c r="AN15" i="5"/>
  <c r="AN12" i="5"/>
  <c r="AN7" i="5"/>
  <c r="AN5" i="5"/>
  <c r="AH12" i="5"/>
  <c r="AH10" i="5"/>
  <c r="AH11" i="5"/>
  <c r="AH6" i="5"/>
  <c r="AH7" i="5"/>
  <c r="AH15" i="5"/>
  <c r="AT14" i="5"/>
  <c r="AQ14" i="5"/>
  <c r="L20" i="6" s="1"/>
  <c r="AK14" i="5"/>
  <c r="AE14" i="5"/>
  <c r="AB15" i="5"/>
  <c r="AB12" i="5"/>
  <c r="AB11" i="5"/>
  <c r="AB10" i="5"/>
  <c r="AB8" i="5"/>
  <c r="AB5" i="5"/>
  <c r="G11" i="6" s="1"/>
  <c r="Y14" i="5"/>
  <c r="Y12" i="5"/>
  <c r="AX4" i="5"/>
  <c r="AX5" i="5"/>
  <c r="AX6" i="5"/>
  <c r="AX7" i="5"/>
  <c r="AX8" i="5"/>
  <c r="AX9" i="5"/>
  <c r="AX10" i="5"/>
  <c r="AX11" i="5"/>
  <c r="AX12" i="5"/>
  <c r="AX13" i="5"/>
  <c r="AX14" i="5"/>
  <c r="AX15" i="5"/>
  <c r="AX3" i="5"/>
  <c r="AU4" i="5"/>
  <c r="AU5" i="5"/>
  <c r="AU6" i="5"/>
  <c r="AU7" i="5"/>
  <c r="AU8" i="5"/>
  <c r="AU9" i="5"/>
  <c r="AU10" i="5"/>
  <c r="AU11" i="5"/>
  <c r="AU12" i="5"/>
  <c r="AU13" i="5"/>
  <c r="AU14" i="5"/>
  <c r="AU15" i="5"/>
  <c r="AU3" i="5"/>
  <c r="AN123" i="4"/>
  <c r="AM123" i="4"/>
  <c r="AN122" i="4"/>
  <c r="AM122" i="4"/>
  <c r="AN121" i="4"/>
  <c r="AM121" i="4"/>
  <c r="AN120" i="4"/>
  <c r="AM120" i="4"/>
  <c r="AN119" i="4"/>
  <c r="AM119" i="4"/>
  <c r="AN118" i="4"/>
  <c r="AM118" i="4"/>
  <c r="AN117" i="4"/>
  <c r="AM117" i="4"/>
  <c r="AN116" i="4"/>
  <c r="AM116" i="4"/>
  <c r="AN115" i="4"/>
  <c r="AM115" i="4"/>
  <c r="AN114" i="4"/>
  <c r="AM114" i="4"/>
  <c r="AN113" i="4"/>
  <c r="AM113" i="4"/>
  <c r="AN112" i="4"/>
  <c r="AM112" i="4"/>
  <c r="AN111" i="4"/>
  <c r="AM111" i="4"/>
  <c r="AN110" i="4"/>
  <c r="AM110" i="4"/>
  <c r="AN109" i="4"/>
  <c r="AM109" i="4"/>
  <c r="AN108" i="4"/>
  <c r="AM108" i="4"/>
  <c r="AN107" i="4"/>
  <c r="AM107" i="4"/>
  <c r="AN106" i="4"/>
  <c r="AM106" i="4"/>
  <c r="AN105" i="4"/>
  <c r="AM105" i="4"/>
  <c r="AN104" i="4"/>
  <c r="AM104" i="4"/>
  <c r="AN103" i="4"/>
  <c r="AM103" i="4"/>
  <c r="AN102" i="4"/>
  <c r="AM102" i="4"/>
  <c r="AN101" i="4"/>
  <c r="AM101" i="4"/>
  <c r="AN100" i="4"/>
  <c r="AM100" i="4"/>
  <c r="AN99" i="4"/>
  <c r="AM99" i="4"/>
  <c r="AN98" i="4"/>
  <c r="AM98" i="4"/>
  <c r="AN97" i="4"/>
  <c r="AM97" i="4"/>
  <c r="AN96" i="4"/>
  <c r="AM96" i="4"/>
  <c r="AN95" i="4"/>
  <c r="AM95" i="4"/>
  <c r="AN94" i="4"/>
  <c r="AM94" i="4"/>
  <c r="AN93" i="4"/>
  <c r="AM93" i="4"/>
  <c r="AN92" i="4"/>
  <c r="AM92" i="4"/>
  <c r="AN91" i="4"/>
  <c r="AM91" i="4"/>
  <c r="AN90" i="4"/>
  <c r="AM90" i="4"/>
  <c r="AN89" i="4"/>
  <c r="AM89" i="4"/>
  <c r="AN88" i="4"/>
  <c r="AM88" i="4"/>
  <c r="AN87" i="4"/>
  <c r="AM87" i="4"/>
  <c r="AN86" i="4"/>
  <c r="AM86" i="4"/>
  <c r="AN85" i="4"/>
  <c r="AM85" i="4"/>
  <c r="AN84" i="4"/>
  <c r="AM84" i="4"/>
  <c r="AN83" i="4"/>
  <c r="AM83" i="4"/>
  <c r="AN82" i="4"/>
  <c r="AM82" i="4"/>
  <c r="AN81" i="4"/>
  <c r="AM81" i="4"/>
  <c r="AN80" i="4"/>
  <c r="AM80" i="4"/>
  <c r="AN79" i="4"/>
  <c r="AM79" i="4"/>
  <c r="AN78" i="4"/>
  <c r="AM78" i="4"/>
  <c r="AN77" i="4"/>
  <c r="AM77" i="4"/>
  <c r="AN76" i="4"/>
  <c r="AM76" i="4"/>
  <c r="AN75" i="4"/>
  <c r="AM75" i="4"/>
  <c r="AN74" i="4"/>
  <c r="AM74" i="4"/>
  <c r="AN73" i="4"/>
  <c r="AM73" i="4"/>
  <c r="AN72" i="4"/>
  <c r="AM72" i="4"/>
  <c r="AN71" i="4"/>
  <c r="AM71" i="4"/>
  <c r="AN70" i="4"/>
  <c r="AM70" i="4"/>
  <c r="AN69" i="4"/>
  <c r="AM69" i="4"/>
  <c r="AN68" i="4"/>
  <c r="AM68" i="4"/>
  <c r="AN67" i="4"/>
  <c r="AM67" i="4"/>
  <c r="AN66" i="4"/>
  <c r="AM66" i="4"/>
  <c r="AN65" i="4"/>
  <c r="AM65" i="4"/>
  <c r="AN64" i="4"/>
  <c r="AM64" i="4"/>
  <c r="AN63" i="4"/>
  <c r="AM63" i="4"/>
  <c r="AN62" i="4"/>
  <c r="AM62" i="4"/>
  <c r="AN61" i="4"/>
  <c r="AM61" i="4"/>
  <c r="AN60" i="4"/>
  <c r="AM60" i="4"/>
  <c r="AN59" i="4"/>
  <c r="AM59" i="4"/>
  <c r="AN58" i="4"/>
  <c r="AM58" i="4"/>
  <c r="AN57" i="4"/>
  <c r="AM57" i="4"/>
  <c r="AN56" i="4"/>
  <c r="AM56" i="4"/>
  <c r="AN55" i="4"/>
  <c r="AM55" i="4"/>
  <c r="AN54" i="4"/>
  <c r="AM54" i="4"/>
  <c r="AN53" i="4"/>
  <c r="AM53" i="4"/>
  <c r="AN52" i="4"/>
  <c r="AM52" i="4"/>
  <c r="AN51" i="4"/>
  <c r="AM51" i="4"/>
  <c r="AN50" i="4"/>
  <c r="AM50" i="4"/>
  <c r="AN49" i="4"/>
  <c r="AM49" i="4"/>
  <c r="AN48" i="4"/>
  <c r="AM48" i="4"/>
  <c r="AN47" i="4"/>
  <c r="AM47" i="4"/>
  <c r="AN46" i="4"/>
  <c r="AM46" i="4"/>
  <c r="AN45" i="4"/>
  <c r="AM45" i="4"/>
  <c r="AN44" i="4"/>
  <c r="AM44" i="4"/>
  <c r="AN43" i="4"/>
  <c r="AM43" i="4"/>
  <c r="AN42" i="4"/>
  <c r="AM42" i="4"/>
  <c r="AN41" i="4"/>
  <c r="AM41" i="4"/>
  <c r="AN40" i="4"/>
  <c r="AM40" i="4"/>
  <c r="AN39" i="4"/>
  <c r="AM39" i="4"/>
  <c r="AN38" i="4"/>
  <c r="AM38" i="4"/>
  <c r="AN37" i="4"/>
  <c r="AM37" i="4"/>
  <c r="AN36" i="4"/>
  <c r="AM36" i="4"/>
  <c r="AN35" i="4"/>
  <c r="AM35" i="4"/>
  <c r="AN34" i="4"/>
  <c r="AM34" i="4"/>
  <c r="AN33" i="4"/>
  <c r="AM33" i="4"/>
  <c r="AN32" i="4"/>
  <c r="AM32" i="4"/>
  <c r="AN31" i="4"/>
  <c r="AM31" i="4"/>
  <c r="AN30" i="4"/>
  <c r="AM30" i="4"/>
  <c r="AN29" i="4"/>
  <c r="AM29" i="4"/>
  <c r="AN28" i="4"/>
  <c r="AM28" i="4"/>
  <c r="AN27" i="4"/>
  <c r="AM27" i="4"/>
  <c r="AN26" i="4"/>
  <c r="AM26" i="4"/>
  <c r="AN25" i="4"/>
  <c r="AM25" i="4"/>
  <c r="AN24" i="4"/>
  <c r="AM24" i="4"/>
  <c r="AN23" i="4"/>
  <c r="AM23" i="4"/>
  <c r="AN22" i="4"/>
  <c r="AM22" i="4"/>
  <c r="AN21" i="4"/>
  <c r="AM21" i="4"/>
  <c r="AN20" i="4"/>
  <c r="AM20" i="4"/>
  <c r="AN19" i="4"/>
  <c r="AM19" i="4"/>
  <c r="AN18" i="4"/>
  <c r="AM18" i="4"/>
  <c r="AN17" i="4"/>
  <c r="AM17" i="4"/>
  <c r="AN16" i="4"/>
  <c r="AM16" i="4"/>
  <c r="AN15" i="4"/>
  <c r="AM15" i="4"/>
  <c r="AN14" i="4"/>
  <c r="AM14" i="4"/>
  <c r="AN13" i="4"/>
  <c r="AM13" i="4"/>
  <c r="AN12" i="4"/>
  <c r="AM12" i="4"/>
  <c r="AN11" i="4"/>
  <c r="AM11" i="4"/>
  <c r="AN10" i="4"/>
  <c r="AM10" i="4"/>
  <c r="AN9" i="4"/>
  <c r="AM9" i="4"/>
  <c r="AN8" i="4"/>
  <c r="AM8" i="4"/>
  <c r="AN7" i="4"/>
  <c r="AM7" i="4"/>
  <c r="AN6" i="4"/>
  <c r="AM6" i="4"/>
  <c r="AN5" i="4"/>
  <c r="AM5" i="4"/>
  <c r="AN4" i="4"/>
  <c r="AM4" i="4"/>
  <c r="AN3" i="4"/>
  <c r="AM3" i="4"/>
  <c r="AN2" i="4"/>
  <c r="AM2" i="4"/>
  <c r="F2" i="6"/>
  <c r="G2" i="6"/>
  <c r="H2" i="6"/>
  <c r="I2" i="6"/>
  <c r="J2" i="6"/>
  <c r="K2" i="6"/>
  <c r="L2" i="6"/>
  <c r="F3" i="6"/>
  <c r="G3" i="6"/>
  <c r="H3" i="6"/>
  <c r="I3" i="6"/>
  <c r="J3" i="6"/>
  <c r="K3" i="6"/>
  <c r="L3" i="6"/>
  <c r="F4" i="6"/>
  <c r="G4" i="6"/>
  <c r="H4" i="6"/>
  <c r="I4" i="6"/>
  <c r="J4" i="6"/>
  <c r="K4" i="6"/>
  <c r="L4" i="6"/>
  <c r="F5" i="6"/>
  <c r="G5" i="6"/>
  <c r="H5" i="6"/>
  <c r="I5" i="6"/>
  <c r="J5" i="6"/>
  <c r="K5" i="6"/>
  <c r="L5" i="6"/>
  <c r="F6" i="6"/>
  <c r="G6" i="6"/>
  <c r="H6" i="6"/>
  <c r="I6" i="6"/>
  <c r="J6" i="6"/>
  <c r="K6" i="6"/>
  <c r="L6" i="6"/>
  <c r="J7" i="6"/>
  <c r="K7" i="6"/>
  <c r="L7" i="6"/>
  <c r="F8" i="6"/>
  <c r="G8" i="6"/>
  <c r="H8" i="6"/>
  <c r="I8" i="6"/>
  <c r="J8" i="6"/>
  <c r="K8" i="6"/>
  <c r="L8" i="6"/>
  <c r="F9" i="6"/>
  <c r="G9" i="6"/>
  <c r="H9" i="6"/>
  <c r="I9" i="6"/>
  <c r="J9" i="6"/>
  <c r="K9" i="6"/>
  <c r="L9" i="6"/>
  <c r="F10" i="6"/>
  <c r="G10" i="6"/>
  <c r="H10" i="6"/>
  <c r="I10" i="6"/>
  <c r="J10" i="6"/>
  <c r="K10" i="6"/>
  <c r="L10" i="6"/>
  <c r="F11" i="6"/>
  <c r="H11" i="6"/>
  <c r="I11" i="6"/>
  <c r="J11" i="6"/>
  <c r="K11" i="6"/>
  <c r="L11" i="6"/>
  <c r="F12" i="6"/>
  <c r="G12" i="6"/>
  <c r="H12" i="6"/>
  <c r="I12" i="6"/>
  <c r="J12" i="6"/>
  <c r="K12" i="6"/>
  <c r="L12" i="6"/>
  <c r="F13" i="6"/>
  <c r="G13" i="6"/>
  <c r="H13" i="6"/>
  <c r="I13" i="6"/>
  <c r="J13" i="6"/>
  <c r="K13" i="6"/>
  <c r="L13" i="6"/>
  <c r="F14" i="6"/>
  <c r="G14" i="6"/>
  <c r="H14" i="6"/>
  <c r="I14" i="6"/>
  <c r="J14" i="6"/>
  <c r="K14" i="6"/>
  <c r="L14" i="6"/>
  <c r="F15" i="6"/>
  <c r="G15" i="6"/>
  <c r="H15" i="6"/>
  <c r="I15" i="6"/>
  <c r="J15" i="6"/>
  <c r="K15" i="6"/>
  <c r="L15" i="6"/>
  <c r="F16" i="6"/>
  <c r="G16" i="6"/>
  <c r="H16" i="6"/>
  <c r="I16" i="6"/>
  <c r="J16" i="6"/>
  <c r="K16" i="6"/>
  <c r="L16" i="6"/>
  <c r="F17" i="6"/>
  <c r="G17" i="6"/>
  <c r="H17" i="6"/>
  <c r="I17" i="6"/>
  <c r="J17" i="6"/>
  <c r="K17" i="6"/>
  <c r="L17" i="6"/>
  <c r="F18" i="6"/>
  <c r="G18" i="6"/>
  <c r="H18" i="6"/>
  <c r="I18" i="6"/>
  <c r="J18" i="6"/>
  <c r="K18" i="6"/>
  <c r="L18" i="6"/>
  <c r="F19" i="6"/>
  <c r="G19" i="6"/>
  <c r="H19" i="6"/>
  <c r="I19" i="6"/>
  <c r="J19" i="6"/>
  <c r="K19" i="6"/>
  <c r="L19" i="6"/>
  <c r="F20" i="6"/>
  <c r="G20" i="6"/>
  <c r="H20" i="6"/>
  <c r="I20" i="6"/>
  <c r="J20" i="6"/>
  <c r="K20" i="6"/>
  <c r="F21" i="6"/>
  <c r="G21" i="6"/>
  <c r="H21" i="6"/>
  <c r="I21" i="6"/>
  <c r="J21" i="6"/>
  <c r="K21" i="6"/>
  <c r="L21" i="6"/>
  <c r="E3" i="6"/>
  <c r="E4" i="6"/>
  <c r="E5" i="6"/>
  <c r="E6" i="6"/>
  <c r="E8" i="6"/>
  <c r="E9" i="6"/>
  <c r="E10" i="6"/>
  <c r="E11" i="6"/>
  <c r="E12" i="6"/>
  <c r="E13" i="6"/>
  <c r="E14" i="6"/>
  <c r="E15" i="6"/>
  <c r="E16" i="6"/>
  <c r="E17" i="6"/>
  <c r="E18" i="6"/>
  <c r="E19" i="6"/>
  <c r="E20" i="6"/>
  <c r="E21" i="6"/>
  <c r="E2" i="6"/>
  <c r="Q22" i="6"/>
  <c r="P22" i="6"/>
  <c r="O22" i="6"/>
  <c r="D22" i="6"/>
  <c r="V14" i="5"/>
  <c r="V7" i="5"/>
  <c r="AL72" i="4"/>
  <c r="AK72" i="4"/>
  <c r="AJ72" i="4"/>
  <c r="AI72" i="4"/>
  <c r="AH72" i="4"/>
  <c r="AG72" i="4"/>
  <c r="AF72" i="4"/>
  <c r="AE72" i="4"/>
  <c r="AL30" i="4"/>
  <c r="AK30" i="4"/>
  <c r="AJ30" i="4"/>
  <c r="AI30" i="4"/>
  <c r="AH30" i="4"/>
  <c r="AG30" i="4"/>
  <c r="AF30" i="4"/>
  <c r="AE30" i="4"/>
  <c r="AD108" i="4"/>
  <c r="AC108" i="4"/>
  <c r="AD107" i="4"/>
  <c r="AC107" i="4"/>
  <c r="AD106" i="4"/>
  <c r="AC106" i="4"/>
  <c r="AD9" i="4"/>
  <c r="AC9" i="4"/>
  <c r="AD8" i="4"/>
  <c r="AC8" i="4"/>
  <c r="AD7" i="4"/>
  <c r="AC7" i="4"/>
  <c r="AD6" i="4"/>
  <c r="AC6" i="4"/>
  <c r="AB3" i="4"/>
  <c r="AC3" i="4"/>
  <c r="AD3" i="4"/>
  <c r="AB4" i="4"/>
  <c r="AC4" i="4"/>
  <c r="AD4" i="4"/>
  <c r="AB5" i="4"/>
  <c r="AC5" i="4"/>
  <c r="AD5" i="4"/>
  <c r="AD2" i="4"/>
  <c r="AC2" i="4"/>
  <c r="AB2" i="4"/>
  <c r="AD122" i="4"/>
  <c r="AC122" i="4"/>
  <c r="AB122" i="4"/>
  <c r="AA122" i="4"/>
  <c r="AA123" i="4"/>
  <c r="AB123" i="4"/>
  <c r="AC123" i="4"/>
  <c r="AD123" i="4"/>
  <c r="E15" i="5"/>
  <c r="F15" i="5" s="1"/>
  <c r="I15" i="5" s="1"/>
  <c r="E14" i="5"/>
  <c r="F14" i="5" s="1"/>
  <c r="I14" i="5" s="1"/>
  <c r="E13" i="5"/>
  <c r="F13" i="5" s="1"/>
  <c r="I13" i="5" s="1"/>
  <c r="E12" i="5"/>
  <c r="F12" i="5" s="1"/>
  <c r="I12" i="5" s="1"/>
  <c r="E11" i="5"/>
  <c r="F11" i="5" s="1"/>
  <c r="I11" i="5" s="1"/>
  <c r="E10" i="5"/>
  <c r="F10" i="5" s="1"/>
  <c r="I10" i="5" s="1"/>
  <c r="E9" i="5"/>
  <c r="F9" i="5" s="1"/>
  <c r="I9" i="5" s="1"/>
  <c r="E8" i="5"/>
  <c r="F8" i="5" s="1"/>
  <c r="I8" i="5" s="1"/>
  <c r="E7" i="5"/>
  <c r="F7" i="5" s="1"/>
  <c r="I7" i="5" s="1"/>
  <c r="E6" i="5"/>
  <c r="F6" i="5" s="1"/>
  <c r="I6" i="5" s="1"/>
  <c r="E5" i="5"/>
  <c r="F5" i="5" s="1"/>
  <c r="I5" i="5" s="1"/>
  <c r="E4" i="5"/>
  <c r="F4" i="5" s="1"/>
  <c r="I4" i="5" s="1"/>
  <c r="AL123" i="4"/>
  <c r="AK123" i="4"/>
  <c r="AJ123" i="4"/>
  <c r="AI123" i="4"/>
  <c r="AH123" i="4"/>
  <c r="AG123" i="4"/>
  <c r="AF123" i="4"/>
  <c r="AE123" i="4"/>
  <c r="AL122" i="4"/>
  <c r="AK122" i="4"/>
  <c r="AJ122" i="4"/>
  <c r="AI122" i="4"/>
  <c r="AH122" i="4"/>
  <c r="AG122" i="4"/>
  <c r="AF122" i="4"/>
  <c r="AE122" i="4"/>
  <c r="AL108" i="4"/>
  <c r="AK108" i="4"/>
  <c r="AJ108" i="4"/>
  <c r="AI108" i="4"/>
  <c r="AH108" i="4"/>
  <c r="AG108" i="4"/>
  <c r="AF108" i="4"/>
  <c r="AE108" i="4"/>
  <c r="AL107" i="4"/>
  <c r="AK107" i="4"/>
  <c r="AJ107" i="4"/>
  <c r="AI107" i="4"/>
  <c r="AH107" i="4"/>
  <c r="AG107" i="4"/>
  <c r="AF107" i="4"/>
  <c r="AE107" i="4"/>
  <c r="AL106" i="4"/>
  <c r="AK106" i="4"/>
  <c r="AJ106" i="4"/>
  <c r="AI106" i="4"/>
  <c r="AH106" i="4"/>
  <c r="AG106" i="4"/>
  <c r="AF106" i="4"/>
  <c r="AE106" i="4"/>
  <c r="AL9" i="4"/>
  <c r="AK9" i="4"/>
  <c r="AJ9" i="4"/>
  <c r="AI9" i="4"/>
  <c r="AH9" i="4"/>
  <c r="AG9" i="4"/>
  <c r="AF9" i="4"/>
  <c r="AE9" i="4"/>
  <c r="AL8" i="4"/>
  <c r="AK8" i="4"/>
  <c r="AJ8" i="4"/>
  <c r="AI8" i="4"/>
  <c r="AH8" i="4"/>
  <c r="AG8" i="4"/>
  <c r="AF8" i="4"/>
  <c r="AE8" i="4"/>
  <c r="AL7" i="4"/>
  <c r="AK7" i="4"/>
  <c r="AJ7" i="4"/>
  <c r="AI7" i="4"/>
  <c r="AH7" i="4"/>
  <c r="AG7" i="4"/>
  <c r="AF7" i="4"/>
  <c r="AE7" i="4"/>
  <c r="AL6" i="4"/>
  <c r="AK6" i="4"/>
  <c r="AJ6" i="4"/>
  <c r="AI6" i="4"/>
  <c r="AH6" i="4"/>
  <c r="AG6" i="4"/>
  <c r="AF6" i="4"/>
  <c r="AE6" i="4"/>
  <c r="AL5" i="4"/>
  <c r="AK5" i="4"/>
  <c r="AJ5" i="4"/>
  <c r="AI5" i="4"/>
  <c r="AH5" i="4"/>
  <c r="AG5" i="4"/>
  <c r="AF5" i="4"/>
  <c r="AE5" i="4"/>
  <c r="AL4" i="4"/>
  <c r="AK4" i="4"/>
  <c r="AJ4" i="4"/>
  <c r="AI4" i="4"/>
  <c r="AH4" i="4"/>
  <c r="AG4" i="4"/>
  <c r="AF4" i="4"/>
  <c r="AE4" i="4"/>
  <c r="AL3" i="4"/>
  <c r="AK3" i="4"/>
  <c r="AJ3" i="4"/>
  <c r="AI3" i="4"/>
  <c r="AH3" i="4"/>
  <c r="AG3" i="4"/>
  <c r="AF3" i="4"/>
  <c r="AE3" i="4"/>
  <c r="AL2" i="4"/>
  <c r="AK2" i="4"/>
  <c r="AJ2" i="4"/>
  <c r="AI2" i="4"/>
  <c r="AH2" i="4"/>
  <c r="AG2" i="4"/>
  <c r="AF2" i="4"/>
  <c r="AE2" i="4"/>
  <c r="AL113" i="4"/>
  <c r="AK113" i="4"/>
  <c r="AJ113" i="4"/>
  <c r="AL112" i="4"/>
  <c r="AK112" i="4"/>
  <c r="AJ112" i="4"/>
  <c r="AL110" i="4"/>
  <c r="AK110" i="4"/>
  <c r="AJ110" i="4"/>
  <c r="AL109" i="4"/>
  <c r="AK109" i="4"/>
  <c r="AJ109" i="4"/>
  <c r="AL101" i="4"/>
  <c r="AK101" i="4"/>
  <c r="AJ101" i="4"/>
  <c r="AL100" i="4"/>
  <c r="AK100" i="4"/>
  <c r="AJ100" i="4"/>
  <c r="AL99" i="4"/>
  <c r="AK99" i="4"/>
  <c r="AJ99" i="4"/>
  <c r="AL91" i="4"/>
  <c r="AK91" i="4"/>
  <c r="AJ91" i="4"/>
  <c r="AL98" i="4"/>
  <c r="AK98" i="4"/>
  <c r="AJ98" i="4"/>
  <c r="AI98" i="4"/>
  <c r="AL97" i="4"/>
  <c r="AK97" i="4"/>
  <c r="AJ97" i="4"/>
  <c r="AI97" i="4"/>
  <c r="AL96" i="4"/>
  <c r="AK96" i="4"/>
  <c r="AJ96" i="4"/>
  <c r="AI96" i="4"/>
  <c r="AL95" i="4"/>
  <c r="AK95" i="4"/>
  <c r="AJ95" i="4"/>
  <c r="AI95" i="4"/>
  <c r="AL93" i="4"/>
  <c r="AK93" i="4"/>
  <c r="AJ93" i="4"/>
  <c r="AI93" i="4"/>
  <c r="AL92" i="4"/>
  <c r="AK92" i="4"/>
  <c r="AJ92" i="4"/>
  <c r="AI92" i="4"/>
  <c r="AL88" i="4"/>
  <c r="AK88" i="4"/>
  <c r="AJ88" i="4"/>
  <c r="AI88" i="4"/>
  <c r="AL87" i="4"/>
  <c r="AK87" i="4"/>
  <c r="AJ87" i="4"/>
  <c r="AI87" i="4"/>
  <c r="AL86" i="4"/>
  <c r="AK86" i="4"/>
  <c r="AJ86" i="4"/>
  <c r="AI86" i="4"/>
  <c r="AL85" i="4"/>
  <c r="AK85" i="4"/>
  <c r="AJ85" i="4"/>
  <c r="AI85" i="4"/>
  <c r="AL84" i="4"/>
  <c r="AK84" i="4"/>
  <c r="AJ84" i="4"/>
  <c r="AI84" i="4"/>
  <c r="AL83" i="4"/>
  <c r="AK83" i="4"/>
  <c r="AJ83" i="4"/>
  <c r="AI83" i="4"/>
  <c r="AL82" i="4"/>
  <c r="AK82" i="4"/>
  <c r="AJ82" i="4"/>
  <c r="AI82" i="4"/>
  <c r="AL81" i="4"/>
  <c r="AK81" i="4"/>
  <c r="AJ81" i="4"/>
  <c r="AI81" i="4"/>
  <c r="AL75" i="4"/>
  <c r="AK75" i="4"/>
  <c r="AJ75" i="4"/>
  <c r="AI75" i="4"/>
  <c r="AL74" i="4"/>
  <c r="AK74" i="4"/>
  <c r="AJ74" i="4"/>
  <c r="AI74" i="4"/>
  <c r="AL94" i="4"/>
  <c r="AK94" i="4"/>
  <c r="AJ94" i="4"/>
  <c r="AI94" i="4"/>
  <c r="AH94" i="4"/>
  <c r="AL90" i="4"/>
  <c r="AK90" i="4"/>
  <c r="AJ90" i="4"/>
  <c r="AI90" i="4"/>
  <c r="AH90" i="4"/>
  <c r="AL89" i="4"/>
  <c r="AK89" i="4"/>
  <c r="AJ89" i="4"/>
  <c r="AI89" i="4"/>
  <c r="AH89" i="4"/>
  <c r="AL80" i="4"/>
  <c r="AK80" i="4"/>
  <c r="AJ80" i="4"/>
  <c r="AI80" i="4"/>
  <c r="AH80" i="4"/>
  <c r="AL79" i="4"/>
  <c r="AK79" i="4"/>
  <c r="AJ79" i="4"/>
  <c r="AI79" i="4"/>
  <c r="AH79" i="4"/>
  <c r="AL78" i="4"/>
  <c r="AK78" i="4"/>
  <c r="AJ78" i="4"/>
  <c r="AI78" i="4"/>
  <c r="AH78" i="4"/>
  <c r="AL77" i="4"/>
  <c r="AK77" i="4"/>
  <c r="AJ77" i="4"/>
  <c r="AI77" i="4"/>
  <c r="AH77" i="4"/>
  <c r="AL76" i="4"/>
  <c r="AK76" i="4"/>
  <c r="AJ76" i="4"/>
  <c r="AI76" i="4"/>
  <c r="AH76" i="4"/>
  <c r="AL73" i="4"/>
  <c r="AK73" i="4"/>
  <c r="AJ73" i="4"/>
  <c r="AI73" i="4"/>
  <c r="AH73" i="4"/>
  <c r="AL70" i="4"/>
  <c r="AK70" i="4"/>
  <c r="AJ70" i="4"/>
  <c r="AI70" i="4"/>
  <c r="AH70" i="4"/>
  <c r="AL69" i="4"/>
  <c r="AK69" i="4"/>
  <c r="AJ69" i="4"/>
  <c r="AI69" i="4"/>
  <c r="AH69" i="4"/>
  <c r="AL67" i="4"/>
  <c r="AK67" i="4"/>
  <c r="AJ67" i="4"/>
  <c r="AI67" i="4"/>
  <c r="AH67" i="4"/>
  <c r="AL66" i="4"/>
  <c r="AK66" i="4"/>
  <c r="AJ66" i="4"/>
  <c r="AI66" i="4"/>
  <c r="AH66" i="4"/>
  <c r="AL65" i="4"/>
  <c r="AK65" i="4"/>
  <c r="AJ65" i="4"/>
  <c r="AI65" i="4"/>
  <c r="AH65" i="4"/>
  <c r="AL64" i="4"/>
  <c r="AK64" i="4"/>
  <c r="AJ64" i="4"/>
  <c r="AI64" i="4"/>
  <c r="AH64" i="4"/>
  <c r="AL63" i="4"/>
  <c r="AK63" i="4"/>
  <c r="AJ63" i="4"/>
  <c r="AI63" i="4"/>
  <c r="AH63" i="4"/>
  <c r="AL121" i="4"/>
  <c r="AK121" i="4"/>
  <c r="AJ121" i="4"/>
  <c r="AI121" i="4"/>
  <c r="AH121" i="4"/>
  <c r="AG121" i="4"/>
  <c r="AL120" i="4"/>
  <c r="AK120" i="4"/>
  <c r="AJ120" i="4"/>
  <c r="AI120" i="4"/>
  <c r="AH120" i="4"/>
  <c r="AG120" i="4"/>
  <c r="AL119" i="4"/>
  <c r="AK119" i="4"/>
  <c r="AJ119" i="4"/>
  <c r="AI119" i="4"/>
  <c r="AH119" i="4"/>
  <c r="AG119" i="4"/>
  <c r="AL118" i="4"/>
  <c r="AK118" i="4"/>
  <c r="AJ118" i="4"/>
  <c r="AI118" i="4"/>
  <c r="AH118" i="4"/>
  <c r="AG118" i="4"/>
  <c r="AL117" i="4"/>
  <c r="AK117" i="4"/>
  <c r="AJ117" i="4"/>
  <c r="AI117" i="4"/>
  <c r="AH117" i="4"/>
  <c r="AG117" i="4"/>
  <c r="AL68" i="4"/>
  <c r="AK68" i="4"/>
  <c r="AJ68" i="4"/>
  <c r="AI68" i="4"/>
  <c r="AH68" i="4"/>
  <c r="AG68" i="4"/>
  <c r="AL62" i="4"/>
  <c r="AK62" i="4"/>
  <c r="AJ62" i="4"/>
  <c r="AI62" i="4"/>
  <c r="AH62" i="4"/>
  <c r="AG62" i="4"/>
  <c r="AL61" i="4"/>
  <c r="AK61" i="4"/>
  <c r="AJ61" i="4"/>
  <c r="AI61" i="4"/>
  <c r="AH61" i="4"/>
  <c r="AG61" i="4"/>
  <c r="AL60" i="4"/>
  <c r="AK60" i="4"/>
  <c r="AJ60" i="4"/>
  <c r="AI60" i="4"/>
  <c r="AH60" i="4"/>
  <c r="AG60" i="4"/>
  <c r="AL59" i="4"/>
  <c r="AK59" i="4"/>
  <c r="AJ59" i="4"/>
  <c r="AI59" i="4"/>
  <c r="AH59" i="4"/>
  <c r="AG59" i="4"/>
  <c r="AL58" i="4"/>
  <c r="AK58" i="4"/>
  <c r="AJ58" i="4"/>
  <c r="AI58" i="4"/>
  <c r="AH58" i="4"/>
  <c r="AG58" i="4"/>
  <c r="AL57" i="4"/>
  <c r="AK57" i="4"/>
  <c r="AJ57" i="4"/>
  <c r="AI57" i="4"/>
  <c r="AH57" i="4"/>
  <c r="AG57" i="4"/>
  <c r="AL56" i="4"/>
  <c r="AK56" i="4"/>
  <c r="AJ56" i="4"/>
  <c r="AI56" i="4"/>
  <c r="AH56" i="4"/>
  <c r="AG56" i="4"/>
  <c r="AL55" i="4"/>
  <c r="AK55" i="4"/>
  <c r="AJ55" i="4"/>
  <c r="AI55" i="4"/>
  <c r="AH55" i="4"/>
  <c r="AG55" i="4"/>
  <c r="AL53" i="4"/>
  <c r="AK53" i="4"/>
  <c r="AJ53" i="4"/>
  <c r="AI53" i="4"/>
  <c r="AH53" i="4"/>
  <c r="AG53" i="4"/>
  <c r="AL52" i="4"/>
  <c r="AK52" i="4"/>
  <c r="AJ52" i="4"/>
  <c r="AI52" i="4"/>
  <c r="AH52" i="4"/>
  <c r="AG52" i="4"/>
  <c r="AL51" i="4"/>
  <c r="AK51" i="4"/>
  <c r="AJ51" i="4"/>
  <c r="AI51" i="4"/>
  <c r="AH51" i="4"/>
  <c r="AG51" i="4"/>
  <c r="AL50" i="4"/>
  <c r="AK50" i="4"/>
  <c r="AJ50" i="4"/>
  <c r="AI50" i="4"/>
  <c r="AH50" i="4"/>
  <c r="AG50" i="4"/>
  <c r="AL49" i="4"/>
  <c r="AK49" i="4"/>
  <c r="AJ49" i="4"/>
  <c r="AI49" i="4"/>
  <c r="AH49" i="4"/>
  <c r="AG49" i="4"/>
  <c r="AL48" i="4"/>
  <c r="AK48" i="4"/>
  <c r="AJ48" i="4"/>
  <c r="AI48" i="4"/>
  <c r="AH48" i="4"/>
  <c r="AG48" i="4"/>
  <c r="AL47" i="4"/>
  <c r="AK47" i="4"/>
  <c r="AJ47" i="4"/>
  <c r="AI47" i="4"/>
  <c r="AH47" i="4"/>
  <c r="AG47" i="4"/>
  <c r="AL46" i="4"/>
  <c r="AK46" i="4"/>
  <c r="AJ46" i="4"/>
  <c r="AI46" i="4"/>
  <c r="AH46" i="4"/>
  <c r="AG46" i="4"/>
  <c r="AL45" i="4"/>
  <c r="AK45" i="4"/>
  <c r="AJ45" i="4"/>
  <c r="AI45" i="4"/>
  <c r="AH45" i="4"/>
  <c r="AG45" i="4"/>
  <c r="AL44" i="4"/>
  <c r="AK44" i="4"/>
  <c r="AJ44" i="4"/>
  <c r="AI44" i="4"/>
  <c r="AH44" i="4"/>
  <c r="AG44" i="4"/>
  <c r="AL43" i="4"/>
  <c r="AK43" i="4"/>
  <c r="AJ43" i="4"/>
  <c r="AI43" i="4"/>
  <c r="AH43" i="4"/>
  <c r="AG43" i="4"/>
  <c r="AL41" i="4"/>
  <c r="AK41" i="4"/>
  <c r="AJ41" i="4"/>
  <c r="AI41" i="4"/>
  <c r="AH41" i="4"/>
  <c r="AG41" i="4"/>
  <c r="AL40" i="4"/>
  <c r="AK40" i="4"/>
  <c r="AJ40" i="4"/>
  <c r="AI40" i="4"/>
  <c r="AH40" i="4"/>
  <c r="AG40" i="4"/>
  <c r="AL39" i="4"/>
  <c r="AK39" i="4"/>
  <c r="AJ39" i="4"/>
  <c r="AI39" i="4"/>
  <c r="AH39" i="4"/>
  <c r="AG39" i="4"/>
  <c r="AL116" i="4"/>
  <c r="AK116" i="4"/>
  <c r="AJ116" i="4"/>
  <c r="AI116" i="4"/>
  <c r="AH116" i="4"/>
  <c r="AG116" i="4"/>
  <c r="AF116" i="4"/>
  <c r="AL115" i="4"/>
  <c r="AK115" i="4"/>
  <c r="AJ115" i="4"/>
  <c r="AI115" i="4"/>
  <c r="AH115" i="4"/>
  <c r="AG115" i="4"/>
  <c r="AF115" i="4"/>
  <c r="AL114" i="4"/>
  <c r="AK114" i="4"/>
  <c r="AJ114" i="4"/>
  <c r="AI114" i="4"/>
  <c r="AH114" i="4"/>
  <c r="AG114" i="4"/>
  <c r="AF114" i="4"/>
  <c r="AL111" i="4"/>
  <c r="AK111" i="4"/>
  <c r="AJ111" i="4"/>
  <c r="AI111" i="4"/>
  <c r="AH111" i="4"/>
  <c r="AG111" i="4"/>
  <c r="AF111" i="4"/>
  <c r="AL42" i="4"/>
  <c r="AK42" i="4"/>
  <c r="AJ42" i="4"/>
  <c r="AI42" i="4"/>
  <c r="AH42" i="4"/>
  <c r="AG42" i="4"/>
  <c r="AF42" i="4"/>
  <c r="AL37" i="4"/>
  <c r="AK37" i="4"/>
  <c r="AJ37" i="4"/>
  <c r="AI37" i="4"/>
  <c r="AH37" i="4"/>
  <c r="AG37" i="4"/>
  <c r="AF37" i="4"/>
  <c r="AL36" i="4"/>
  <c r="AK36" i="4"/>
  <c r="AJ36" i="4"/>
  <c r="AI36" i="4"/>
  <c r="AH36" i="4"/>
  <c r="AG36" i="4"/>
  <c r="AF36" i="4"/>
  <c r="AL35" i="4"/>
  <c r="AK35" i="4"/>
  <c r="AJ35" i="4"/>
  <c r="AI35" i="4"/>
  <c r="AH35" i="4"/>
  <c r="AG35" i="4"/>
  <c r="AF35" i="4"/>
  <c r="AL34" i="4"/>
  <c r="AK34" i="4"/>
  <c r="AJ34" i="4"/>
  <c r="AI34" i="4"/>
  <c r="AH34" i="4"/>
  <c r="AG34" i="4"/>
  <c r="AF34" i="4"/>
  <c r="AL33" i="4"/>
  <c r="AK33" i="4"/>
  <c r="AJ33" i="4"/>
  <c r="AI33" i="4"/>
  <c r="AH33" i="4"/>
  <c r="AG33" i="4"/>
  <c r="AF33" i="4"/>
  <c r="AL32" i="4"/>
  <c r="AK32" i="4"/>
  <c r="AJ32" i="4"/>
  <c r="AI32" i="4"/>
  <c r="AH32" i="4"/>
  <c r="AG32" i="4"/>
  <c r="AF32" i="4"/>
  <c r="AL31" i="4"/>
  <c r="AK31" i="4"/>
  <c r="AJ31" i="4"/>
  <c r="AI31" i="4"/>
  <c r="AH31" i="4"/>
  <c r="AG31" i="4"/>
  <c r="AF31" i="4"/>
  <c r="AL29" i="4"/>
  <c r="AK29" i="4"/>
  <c r="AJ29" i="4"/>
  <c r="AI29" i="4"/>
  <c r="AH29" i="4"/>
  <c r="AG29" i="4"/>
  <c r="AF29" i="4"/>
  <c r="AL28" i="4"/>
  <c r="AK28" i="4"/>
  <c r="AJ28" i="4"/>
  <c r="AI28" i="4"/>
  <c r="AH28" i="4"/>
  <c r="AG28" i="4"/>
  <c r="AF28" i="4"/>
  <c r="AL27" i="4"/>
  <c r="AK27" i="4"/>
  <c r="AJ27" i="4"/>
  <c r="AI27" i="4"/>
  <c r="AH27" i="4"/>
  <c r="AG27" i="4"/>
  <c r="AF27" i="4"/>
  <c r="AL26" i="4"/>
  <c r="AK26" i="4"/>
  <c r="AJ26" i="4"/>
  <c r="AI26" i="4"/>
  <c r="AH26" i="4"/>
  <c r="AG26" i="4"/>
  <c r="AF26" i="4"/>
  <c r="AL105" i="4"/>
  <c r="AK105" i="4"/>
  <c r="AJ105" i="4"/>
  <c r="AI105" i="4"/>
  <c r="AH105" i="4"/>
  <c r="AG105" i="4"/>
  <c r="AF105" i="4"/>
  <c r="AL104" i="4"/>
  <c r="AK104" i="4"/>
  <c r="AJ104" i="4"/>
  <c r="AI104" i="4"/>
  <c r="AH104" i="4"/>
  <c r="AG104" i="4"/>
  <c r="AF104" i="4"/>
  <c r="AL103" i="4"/>
  <c r="AK103" i="4"/>
  <c r="AJ103" i="4"/>
  <c r="AI103" i="4"/>
  <c r="AH103" i="4"/>
  <c r="AG103" i="4"/>
  <c r="AF103" i="4"/>
  <c r="AL102" i="4"/>
  <c r="AK102" i="4"/>
  <c r="AJ102" i="4"/>
  <c r="AI102" i="4"/>
  <c r="AH102" i="4"/>
  <c r="AG102" i="4"/>
  <c r="AF102" i="4"/>
  <c r="AL71" i="4"/>
  <c r="AK71" i="4"/>
  <c r="AJ71" i="4"/>
  <c r="AI71" i="4"/>
  <c r="AH71" i="4"/>
  <c r="AG71" i="4"/>
  <c r="AF71" i="4"/>
  <c r="AL54" i="4"/>
  <c r="AK54" i="4"/>
  <c r="AJ54" i="4"/>
  <c r="AI54" i="4"/>
  <c r="AH54" i="4"/>
  <c r="AG54" i="4"/>
  <c r="AF54" i="4"/>
  <c r="AL38" i="4"/>
  <c r="AK38" i="4"/>
  <c r="AJ38" i="4"/>
  <c r="AI38" i="4"/>
  <c r="AH38" i="4"/>
  <c r="AG38" i="4"/>
  <c r="AF38" i="4"/>
  <c r="AL25" i="4"/>
  <c r="AK25" i="4"/>
  <c r="AJ25" i="4"/>
  <c r="AI25" i="4"/>
  <c r="AH25" i="4"/>
  <c r="AG25" i="4"/>
  <c r="AF25" i="4"/>
  <c r="AL24" i="4"/>
  <c r="AK24" i="4"/>
  <c r="AJ24" i="4"/>
  <c r="AI24" i="4"/>
  <c r="AH24" i="4"/>
  <c r="AG24" i="4"/>
  <c r="AF24" i="4"/>
  <c r="AL23" i="4"/>
  <c r="AK23" i="4"/>
  <c r="AJ23" i="4"/>
  <c r="AI23" i="4"/>
  <c r="AH23" i="4"/>
  <c r="AG23" i="4"/>
  <c r="AF23" i="4"/>
  <c r="AL22" i="4"/>
  <c r="AK22" i="4"/>
  <c r="AJ22" i="4"/>
  <c r="AI22" i="4"/>
  <c r="AH22" i="4"/>
  <c r="AG22" i="4"/>
  <c r="AF22" i="4"/>
  <c r="AL21" i="4"/>
  <c r="AK21" i="4"/>
  <c r="AJ21" i="4"/>
  <c r="AI21" i="4"/>
  <c r="AH21" i="4"/>
  <c r="AG21" i="4"/>
  <c r="AF21" i="4"/>
  <c r="AL20" i="4"/>
  <c r="AK20" i="4"/>
  <c r="AJ20" i="4"/>
  <c r="AI20" i="4"/>
  <c r="AH20" i="4"/>
  <c r="AG20" i="4"/>
  <c r="AF20" i="4"/>
  <c r="AL19" i="4"/>
  <c r="AK19" i="4"/>
  <c r="AJ19" i="4"/>
  <c r="AI19" i="4"/>
  <c r="AH19" i="4"/>
  <c r="AG19" i="4"/>
  <c r="AF19" i="4"/>
  <c r="AL18" i="4"/>
  <c r="AK18" i="4"/>
  <c r="AJ18" i="4"/>
  <c r="AI18" i="4"/>
  <c r="AH18" i="4"/>
  <c r="AG18" i="4"/>
  <c r="AF18" i="4"/>
  <c r="AL17" i="4"/>
  <c r="AK17" i="4"/>
  <c r="AJ17" i="4"/>
  <c r="AI17" i="4"/>
  <c r="AH17" i="4"/>
  <c r="AG17" i="4"/>
  <c r="AF17" i="4"/>
  <c r="AL16" i="4"/>
  <c r="AK16" i="4"/>
  <c r="AJ16" i="4"/>
  <c r="AI16" i="4"/>
  <c r="AH16" i="4"/>
  <c r="AG16" i="4"/>
  <c r="AF16" i="4"/>
  <c r="AL15" i="4"/>
  <c r="AK15" i="4"/>
  <c r="AJ15" i="4"/>
  <c r="AI15" i="4"/>
  <c r="AH15" i="4"/>
  <c r="AG15" i="4"/>
  <c r="AF15" i="4"/>
  <c r="AL14" i="4"/>
  <c r="AK14" i="4"/>
  <c r="AJ14" i="4"/>
  <c r="AI14" i="4"/>
  <c r="AH14" i="4"/>
  <c r="AG14" i="4"/>
  <c r="AF14" i="4"/>
  <c r="AL13" i="4"/>
  <c r="AK13" i="4"/>
  <c r="AJ13" i="4"/>
  <c r="AI13" i="4"/>
  <c r="AH13" i="4"/>
  <c r="AG13" i="4"/>
  <c r="AF13" i="4"/>
  <c r="AL12" i="4"/>
  <c r="AK12" i="4"/>
  <c r="AJ12" i="4"/>
  <c r="AI12" i="4"/>
  <c r="AH12" i="4"/>
  <c r="AG12" i="4"/>
  <c r="AF12" i="4"/>
  <c r="AL11" i="4"/>
  <c r="AK11" i="4"/>
  <c r="AJ11" i="4"/>
  <c r="AI11" i="4"/>
  <c r="AH11" i="4"/>
  <c r="AG11" i="4"/>
  <c r="AF11" i="4"/>
  <c r="AL10" i="4"/>
  <c r="AK10" i="4"/>
  <c r="AJ10" i="4"/>
  <c r="AI10" i="4"/>
  <c r="AH10" i="4"/>
  <c r="AG10" i="4"/>
  <c r="AF10" i="4"/>
  <c r="AE105" i="4"/>
  <c r="AE104" i="4"/>
  <c r="AE103" i="4"/>
  <c r="AE102" i="4"/>
  <c r="AE71" i="4"/>
  <c r="AE54" i="4"/>
  <c r="AE38" i="4"/>
  <c r="AE25" i="4"/>
  <c r="AE24" i="4"/>
  <c r="AE23" i="4"/>
  <c r="AE22" i="4"/>
  <c r="AE21" i="4"/>
  <c r="AE20" i="4"/>
  <c r="AE19" i="4"/>
  <c r="AE18" i="4"/>
  <c r="AE17" i="4"/>
  <c r="AE16" i="4"/>
  <c r="AE15" i="4"/>
  <c r="AE14" i="4"/>
  <c r="AE13" i="4"/>
  <c r="AE12" i="4"/>
  <c r="AE11" i="4"/>
  <c r="AE10" i="4"/>
  <c r="Y123" i="4"/>
  <c r="Z123" i="4" s="1"/>
  <c r="T123" i="4"/>
  <c r="X123" i="4" s="1"/>
  <c r="Y122" i="4"/>
  <c r="Z122" i="4" s="1"/>
  <c r="T122" i="4"/>
  <c r="X122" i="4" s="1"/>
  <c r="Y121" i="4"/>
  <c r="Z121" i="4" s="1"/>
  <c r="T121" i="4"/>
  <c r="X121" i="4" s="1"/>
  <c r="Y120" i="4"/>
  <c r="R120" i="4"/>
  <c r="Y119" i="4"/>
  <c r="R119" i="4"/>
  <c r="Y118" i="4"/>
  <c r="Z118" i="4" s="1"/>
  <c r="T118" i="4"/>
  <c r="X118" i="4" s="1"/>
  <c r="Y117" i="4"/>
  <c r="Z117" i="4" s="1"/>
  <c r="T117" i="4"/>
  <c r="X117" i="4" s="1"/>
  <c r="Y116" i="4"/>
  <c r="Z116" i="4" s="1"/>
  <c r="T116" i="4"/>
  <c r="X116" i="4" s="1"/>
  <c r="Y115" i="4"/>
  <c r="Z115" i="4" s="1"/>
  <c r="T115" i="4"/>
  <c r="X115" i="4" s="1"/>
  <c r="Y114" i="4"/>
  <c r="R114" i="4"/>
  <c r="Y113" i="4"/>
  <c r="Z113" i="4" s="1"/>
  <c r="T113" i="4"/>
  <c r="X113" i="4" s="1"/>
  <c r="Y112" i="4"/>
  <c r="Z112" i="4" s="1"/>
  <c r="T112" i="4"/>
  <c r="X112" i="4" s="1"/>
  <c r="Y111" i="4"/>
  <c r="Z111" i="4" s="1"/>
  <c r="T111" i="4"/>
  <c r="X111" i="4" s="1"/>
  <c r="Y110" i="4"/>
  <c r="Z110" i="4" s="1"/>
  <c r="T110" i="4"/>
  <c r="X110" i="4" s="1"/>
  <c r="Y109" i="4"/>
  <c r="Z109" i="4" s="1"/>
  <c r="T109" i="4"/>
  <c r="X109" i="4" s="1"/>
  <c r="Y108" i="4"/>
  <c r="Z108" i="4" s="1"/>
  <c r="T108" i="4"/>
  <c r="X108" i="4" s="1"/>
  <c r="Y107" i="4"/>
  <c r="Z107" i="4" s="1"/>
  <c r="T107" i="4"/>
  <c r="X107" i="4" s="1"/>
  <c r="Y106" i="4"/>
  <c r="R106" i="4"/>
  <c r="T106" i="4" s="1"/>
  <c r="X106" i="4" s="1"/>
  <c r="Y105" i="4"/>
  <c r="Z105" i="4" s="1"/>
  <c r="T105" i="4"/>
  <c r="X105" i="4" s="1"/>
  <c r="Y104" i="4"/>
  <c r="Z104" i="4" s="1"/>
  <c r="T104" i="4"/>
  <c r="X104" i="4" s="1"/>
  <c r="Y103" i="4"/>
  <c r="Z103" i="4" s="1"/>
  <c r="T103" i="4"/>
  <c r="X103" i="4" s="1"/>
  <c r="Y102" i="4"/>
  <c r="Z102" i="4" s="1"/>
  <c r="T102" i="4"/>
  <c r="X102" i="4" s="1"/>
  <c r="Y101" i="4"/>
  <c r="Z101" i="4" s="1"/>
  <c r="T101" i="4"/>
  <c r="X101" i="4" s="1"/>
  <c r="Y100" i="4"/>
  <c r="Z100" i="4" s="1"/>
  <c r="T100" i="4"/>
  <c r="X100" i="4" s="1"/>
  <c r="Y99" i="4"/>
  <c r="T99" i="4"/>
  <c r="X99" i="4" s="1"/>
  <c r="J99" i="4"/>
  <c r="Y98" i="4"/>
  <c r="Z98" i="4" s="1"/>
  <c r="T98" i="4"/>
  <c r="X98" i="4" s="1"/>
  <c r="Y97" i="4"/>
  <c r="R97" i="4"/>
  <c r="Y96" i="4"/>
  <c r="R96" i="4"/>
  <c r="T96" i="4" s="1"/>
  <c r="X96" i="4" s="1"/>
  <c r="Y95" i="4"/>
  <c r="Z95" i="4" s="1"/>
  <c r="T95" i="4"/>
  <c r="X95" i="4" s="1"/>
  <c r="Y94" i="4"/>
  <c r="Z94" i="4" s="1"/>
  <c r="T94" i="4"/>
  <c r="X94" i="4" s="1"/>
  <c r="Y93" i="4"/>
  <c r="Z93" i="4" s="1"/>
  <c r="T93" i="4"/>
  <c r="X93" i="4" s="1"/>
  <c r="Y92" i="4"/>
  <c r="Z92" i="4" s="1"/>
  <c r="T92" i="4"/>
  <c r="X92" i="4" s="1"/>
  <c r="Y91" i="4"/>
  <c r="R91" i="4"/>
  <c r="T91" i="4" s="1"/>
  <c r="X91" i="4" s="1"/>
  <c r="Y90" i="4"/>
  <c r="Z90" i="4" s="1"/>
  <c r="T90" i="4"/>
  <c r="X90" i="4" s="1"/>
  <c r="Y89" i="4"/>
  <c r="R89" i="4"/>
  <c r="T89" i="4" s="1"/>
  <c r="X89" i="4" s="1"/>
  <c r="Y88" i="4"/>
  <c r="Z88" i="4" s="1"/>
  <c r="T88" i="4"/>
  <c r="X88" i="4" s="1"/>
  <c r="Y87" i="4"/>
  <c r="Z87" i="4" s="1"/>
  <c r="T87" i="4"/>
  <c r="X87" i="4" s="1"/>
  <c r="Y86" i="4"/>
  <c r="Z86" i="4" s="1"/>
  <c r="T86" i="4"/>
  <c r="X86" i="4" s="1"/>
  <c r="Y85" i="4"/>
  <c r="Z85" i="4" s="1"/>
  <c r="T85" i="4"/>
  <c r="X85" i="4" s="1"/>
  <c r="Y84" i="4"/>
  <c r="R84" i="4"/>
  <c r="Y83" i="4"/>
  <c r="Z83" i="4" s="1"/>
  <c r="T83" i="4"/>
  <c r="X83" i="4" s="1"/>
  <c r="Y82" i="4"/>
  <c r="R82" i="4"/>
  <c r="Y81" i="4"/>
  <c r="Z81" i="4" s="1"/>
  <c r="T81" i="4"/>
  <c r="X81" i="4" s="1"/>
  <c r="Y80" i="4"/>
  <c r="Z80" i="4" s="1"/>
  <c r="T80" i="4"/>
  <c r="X80" i="4" s="1"/>
  <c r="Y79" i="4"/>
  <c r="T79" i="4"/>
  <c r="X79" i="4" s="1"/>
  <c r="J79" i="4"/>
  <c r="Y78" i="4"/>
  <c r="Z78" i="4" s="1"/>
  <c r="T78" i="4"/>
  <c r="X78" i="4" s="1"/>
  <c r="Y77" i="4"/>
  <c r="Z77" i="4" s="1"/>
  <c r="T77" i="4"/>
  <c r="X77" i="4" s="1"/>
  <c r="Y76" i="4"/>
  <c r="R76" i="4"/>
  <c r="Y75" i="4"/>
  <c r="Z75" i="4" s="1"/>
  <c r="T75" i="4"/>
  <c r="X75" i="4" s="1"/>
  <c r="Y74" i="4"/>
  <c r="Z74" i="4" s="1"/>
  <c r="T74" i="4"/>
  <c r="X74" i="4" s="1"/>
  <c r="Y73" i="4"/>
  <c r="Z73" i="4" s="1"/>
  <c r="T73" i="4"/>
  <c r="X73" i="4" s="1"/>
  <c r="Y72" i="4"/>
  <c r="Z72" i="4" s="1"/>
  <c r="T72" i="4"/>
  <c r="X72" i="4" s="1"/>
  <c r="Y71" i="4"/>
  <c r="T71" i="4"/>
  <c r="X71" i="4" s="1"/>
  <c r="J71" i="4"/>
  <c r="Y70" i="4"/>
  <c r="Z70" i="4" s="1"/>
  <c r="T70" i="4"/>
  <c r="X70" i="4" s="1"/>
  <c r="Y69" i="4"/>
  <c r="Z69" i="4" s="1"/>
  <c r="T69" i="4"/>
  <c r="X69" i="4" s="1"/>
  <c r="Y68" i="4"/>
  <c r="Z68" i="4" s="1"/>
  <c r="T68" i="4"/>
  <c r="X68" i="4" s="1"/>
  <c r="Y67" i="4"/>
  <c r="Z67" i="4" s="1"/>
  <c r="T67" i="4"/>
  <c r="X67" i="4" s="1"/>
  <c r="Y66" i="4"/>
  <c r="Z66" i="4" s="1"/>
  <c r="T66" i="4"/>
  <c r="X66" i="4" s="1"/>
  <c r="Y65" i="4"/>
  <c r="Z65" i="4" s="1"/>
  <c r="T65" i="4"/>
  <c r="X65" i="4" s="1"/>
  <c r="Y64" i="4"/>
  <c r="Z64" i="4" s="1"/>
  <c r="T64" i="4"/>
  <c r="X64" i="4" s="1"/>
  <c r="Y63" i="4"/>
  <c r="Z63" i="4" s="1"/>
  <c r="T63" i="4"/>
  <c r="X63" i="4" s="1"/>
  <c r="Y62" i="4"/>
  <c r="Z62" i="4" s="1"/>
  <c r="T62" i="4"/>
  <c r="X62" i="4" s="1"/>
  <c r="Y61" i="4"/>
  <c r="Z61" i="4" s="1"/>
  <c r="T61" i="4"/>
  <c r="X61" i="4" s="1"/>
  <c r="Y60" i="4"/>
  <c r="R60" i="4"/>
  <c r="T60" i="4" s="1"/>
  <c r="X60" i="4" s="1"/>
  <c r="Y59" i="4"/>
  <c r="R59" i="4"/>
  <c r="Y58" i="4"/>
  <c r="Z58" i="4" s="1"/>
  <c r="T58" i="4"/>
  <c r="X58" i="4" s="1"/>
  <c r="Y57" i="4"/>
  <c r="Z57" i="4" s="1"/>
  <c r="T57" i="4"/>
  <c r="X57" i="4" s="1"/>
  <c r="Y56" i="4"/>
  <c r="Z56" i="4" s="1"/>
  <c r="T56" i="4"/>
  <c r="X56" i="4" s="1"/>
  <c r="Y55" i="4"/>
  <c r="Z55" i="4" s="1"/>
  <c r="T55" i="4"/>
  <c r="X55" i="4" s="1"/>
  <c r="Y54" i="4"/>
  <c r="T54" i="4"/>
  <c r="X54" i="4" s="1"/>
  <c r="J54" i="4"/>
  <c r="Y53" i="4"/>
  <c r="Z53" i="4" s="1"/>
  <c r="T53" i="4"/>
  <c r="X53" i="4" s="1"/>
  <c r="Y52" i="4"/>
  <c r="Z52" i="4" s="1"/>
  <c r="T52" i="4"/>
  <c r="X52" i="4" s="1"/>
  <c r="Y51" i="4"/>
  <c r="Z51" i="4" s="1"/>
  <c r="T51" i="4"/>
  <c r="X51" i="4" s="1"/>
  <c r="Y50" i="4"/>
  <c r="Z50" i="4" s="1"/>
  <c r="T50" i="4"/>
  <c r="X50" i="4" s="1"/>
  <c r="Y49" i="4"/>
  <c r="Z49" i="4" s="1"/>
  <c r="T49" i="4"/>
  <c r="X49" i="4" s="1"/>
  <c r="Y48" i="4"/>
  <c r="Z48" i="4" s="1"/>
  <c r="T48" i="4"/>
  <c r="X48" i="4" s="1"/>
  <c r="Y47" i="4"/>
  <c r="R47" i="4"/>
  <c r="T47" i="4" s="1"/>
  <c r="X47" i="4" s="1"/>
  <c r="Y46" i="4"/>
  <c r="R46" i="4"/>
  <c r="Y45" i="4"/>
  <c r="R45" i="4"/>
  <c r="Y44" i="4"/>
  <c r="Z44" i="4" s="1"/>
  <c r="T44" i="4"/>
  <c r="X44" i="4" s="1"/>
  <c r="Y43" i="4"/>
  <c r="Z43" i="4" s="1"/>
  <c r="T43" i="4"/>
  <c r="X43" i="4" s="1"/>
  <c r="Y42" i="4"/>
  <c r="T42" i="4"/>
  <c r="X42" i="4" s="1"/>
  <c r="J42" i="4"/>
  <c r="Y41" i="4"/>
  <c r="Z41" i="4" s="1"/>
  <c r="T41" i="4"/>
  <c r="X41" i="4" s="1"/>
  <c r="Y40" i="4"/>
  <c r="R40" i="4"/>
  <c r="Y39" i="4"/>
  <c r="Z39" i="4" s="1"/>
  <c r="T39" i="4"/>
  <c r="X39" i="4" s="1"/>
  <c r="Y38" i="4"/>
  <c r="R38" i="4"/>
  <c r="Z38" i="4" s="1"/>
  <c r="Y37" i="4"/>
  <c r="Z37" i="4" s="1"/>
  <c r="T37" i="4"/>
  <c r="X37" i="4" s="1"/>
  <c r="Y36" i="4"/>
  <c r="Z36" i="4" s="1"/>
  <c r="T36" i="4"/>
  <c r="X36" i="4" s="1"/>
  <c r="Y35" i="4"/>
  <c r="Z35" i="4" s="1"/>
  <c r="T35" i="4"/>
  <c r="X35" i="4" s="1"/>
  <c r="Y34" i="4"/>
  <c r="Z34" i="4" s="1"/>
  <c r="T34" i="4"/>
  <c r="X34" i="4" s="1"/>
  <c r="Y33" i="4"/>
  <c r="Z33" i="4" s="1"/>
  <c r="T33" i="4"/>
  <c r="X33" i="4" s="1"/>
  <c r="Y32" i="4"/>
  <c r="Z32" i="4" s="1"/>
  <c r="T32" i="4"/>
  <c r="X32" i="4" s="1"/>
  <c r="Y31" i="4"/>
  <c r="Z31" i="4" s="1"/>
  <c r="T31" i="4"/>
  <c r="X31" i="4" s="1"/>
  <c r="Y30" i="4"/>
  <c r="T30" i="4"/>
  <c r="X30" i="4" s="1"/>
  <c r="J30" i="4"/>
  <c r="Y29" i="4"/>
  <c r="Z29" i="4" s="1"/>
  <c r="T29" i="4"/>
  <c r="X29" i="4" s="1"/>
  <c r="Y28" i="4"/>
  <c r="Z28" i="4" s="1"/>
  <c r="T28" i="4"/>
  <c r="X28" i="4" s="1"/>
  <c r="Y27" i="4"/>
  <c r="Z27" i="4" s="1"/>
  <c r="T27" i="4"/>
  <c r="X27" i="4" s="1"/>
  <c r="Y26" i="4"/>
  <c r="Z26" i="4" s="1"/>
  <c r="T26" i="4"/>
  <c r="X26" i="4" s="1"/>
  <c r="Y25" i="4"/>
  <c r="Z25" i="4" s="1"/>
  <c r="T25" i="4"/>
  <c r="X25" i="4" s="1"/>
  <c r="Y24" i="4"/>
  <c r="Z24" i="4" s="1"/>
  <c r="T24" i="4"/>
  <c r="X24" i="4" s="1"/>
  <c r="Y23" i="4"/>
  <c r="Z23" i="4" s="1"/>
  <c r="T23" i="4"/>
  <c r="X23" i="4" s="1"/>
  <c r="Y22" i="4"/>
  <c r="R22" i="4"/>
  <c r="Y21" i="4"/>
  <c r="Z21" i="4" s="1"/>
  <c r="T21" i="4"/>
  <c r="X21" i="4" s="1"/>
  <c r="Y20" i="4"/>
  <c r="Z20" i="4" s="1"/>
  <c r="T20" i="4"/>
  <c r="X20" i="4" s="1"/>
  <c r="Y19" i="4"/>
  <c r="Z19" i="4" s="1"/>
  <c r="T19" i="4"/>
  <c r="X19" i="4" s="1"/>
  <c r="Y18" i="4"/>
  <c r="Z18" i="4" s="1"/>
  <c r="T18" i="4"/>
  <c r="X18" i="4" s="1"/>
  <c r="Y17" i="4"/>
  <c r="Z17" i="4" s="1"/>
  <c r="T17" i="4"/>
  <c r="X17" i="4" s="1"/>
  <c r="Y16" i="4"/>
  <c r="Z16" i="4" s="1"/>
  <c r="T16" i="4"/>
  <c r="X16" i="4" s="1"/>
  <c r="Y15" i="4"/>
  <c r="Z15" i="4" s="1"/>
  <c r="T15" i="4"/>
  <c r="X15" i="4" s="1"/>
  <c r="Y14" i="4"/>
  <c r="Z14" i="4" s="1"/>
  <c r="T14" i="4"/>
  <c r="X14" i="4" s="1"/>
  <c r="Y13" i="4"/>
  <c r="Z13" i="4" s="1"/>
  <c r="T13" i="4"/>
  <c r="X13" i="4" s="1"/>
  <c r="Y12" i="4"/>
  <c r="Z12" i="4" s="1"/>
  <c r="T12" i="4"/>
  <c r="X12" i="4" s="1"/>
  <c r="Y11" i="4"/>
  <c r="Z11" i="4" s="1"/>
  <c r="T11" i="4"/>
  <c r="X11" i="4" s="1"/>
  <c r="Y10" i="4"/>
  <c r="Z10" i="4" s="1"/>
  <c r="T10" i="4"/>
  <c r="X10" i="4" s="1"/>
  <c r="Y9" i="4"/>
  <c r="Z9" i="4" s="1"/>
  <c r="T9" i="4"/>
  <c r="X9" i="4" s="1"/>
  <c r="Y8" i="4"/>
  <c r="Z8" i="4" s="1"/>
  <c r="T8" i="4"/>
  <c r="X8" i="4" s="1"/>
  <c r="Y7" i="4"/>
  <c r="Z7" i="4" s="1"/>
  <c r="T7" i="4"/>
  <c r="X7" i="4" s="1"/>
  <c r="Y6" i="4"/>
  <c r="Z6" i="4" s="1"/>
  <c r="T6" i="4"/>
  <c r="X6" i="4" s="1"/>
  <c r="Y5" i="4"/>
  <c r="T5" i="4"/>
  <c r="X5" i="4" s="1"/>
  <c r="J5" i="4"/>
  <c r="Y4" i="4"/>
  <c r="Z4" i="4" s="1"/>
  <c r="T4" i="4"/>
  <c r="X4" i="4" s="1"/>
  <c r="Y3" i="4"/>
  <c r="Z3" i="4" s="1"/>
  <c r="T3" i="4"/>
  <c r="X3" i="4" s="1"/>
  <c r="Y2" i="4"/>
  <c r="Z2" i="4" s="1"/>
  <c r="T2" i="4"/>
  <c r="X2" i="4" s="1"/>
  <c r="I18" i="2"/>
  <c r="K18" i="2" s="1"/>
  <c r="K17" i="2"/>
  <c r="K16" i="2"/>
  <c r="K15" i="2"/>
  <c r="K14" i="2"/>
  <c r="K13" i="2"/>
  <c r="K12" i="2"/>
  <c r="K11" i="2"/>
  <c r="K10" i="2"/>
  <c r="K9" i="2"/>
  <c r="K8" i="2"/>
  <c r="K7" i="2"/>
  <c r="K6" i="2"/>
  <c r="K5" i="2"/>
  <c r="K4" i="2"/>
  <c r="K3" i="2"/>
  <c r="K2" i="2"/>
  <c r="W5" i="5" l="1"/>
  <c r="L22" i="6"/>
  <c r="K22" i="6"/>
  <c r="J22" i="6"/>
  <c r="AL10" i="5"/>
  <c r="AI12" i="5"/>
  <c r="AO14" i="5"/>
  <c r="AI10" i="5"/>
  <c r="T14" i="5"/>
  <c r="Q6" i="5"/>
  <c r="W8" i="5"/>
  <c r="Z8" i="5"/>
  <c r="AL12" i="5"/>
  <c r="AO13" i="5"/>
  <c r="AF14" i="5"/>
  <c r="AR8" i="5"/>
  <c r="AR14" i="5"/>
  <c r="AR15" i="5"/>
  <c r="W6" i="5"/>
  <c r="AC8" i="5"/>
  <c r="Z7" i="5"/>
  <c r="AO12" i="5"/>
  <c r="AR13" i="5"/>
  <c r="AI14" i="5"/>
  <c r="W12" i="5"/>
  <c r="T6" i="5"/>
  <c r="K4" i="5"/>
  <c r="L4" i="5" s="1"/>
  <c r="AF8" i="5"/>
  <c r="AC7" i="5"/>
  <c r="AR12" i="5"/>
  <c r="Z6" i="5"/>
  <c r="AL14" i="5"/>
  <c r="Z12" i="5"/>
  <c r="N5" i="5"/>
  <c r="AC12" i="5"/>
  <c r="AR4" i="5"/>
  <c r="AF12" i="5"/>
  <c r="T12" i="5"/>
  <c r="T7" i="5"/>
  <c r="Q12" i="5"/>
  <c r="Z9" i="5"/>
  <c r="T8" i="5"/>
  <c r="AC10" i="5"/>
  <c r="Q8" i="5"/>
  <c r="AF11" i="5"/>
  <c r="N8" i="5"/>
  <c r="AL13" i="5"/>
  <c r="AL6" i="5"/>
  <c r="Q5" i="5"/>
  <c r="AC9" i="5"/>
  <c r="AI11" i="5"/>
  <c r="K14" i="5"/>
  <c r="L14" i="5" s="1"/>
  <c r="T5" i="5"/>
  <c r="K13" i="5"/>
  <c r="L13" i="5" s="1"/>
  <c r="Q15" i="5"/>
  <c r="T4" i="5"/>
  <c r="AI9" i="5"/>
  <c r="AO11" i="5"/>
  <c r="K12" i="5"/>
  <c r="L12" i="5" s="1"/>
  <c r="O12" i="5" s="1"/>
  <c r="Q14" i="5"/>
  <c r="Z5" i="5"/>
  <c r="AF7" i="5"/>
  <c r="AL9" i="5"/>
  <c r="AR11" i="5"/>
  <c r="N12" i="5"/>
  <c r="AC5" i="5"/>
  <c r="AI7" i="5"/>
  <c r="AO9" i="5"/>
  <c r="W14" i="5"/>
  <c r="AF5" i="5"/>
  <c r="AI6" i="5"/>
  <c r="AR9" i="5"/>
  <c r="N9" i="5"/>
  <c r="AF15" i="5"/>
  <c r="AI4" i="5"/>
  <c r="AO6" i="5"/>
  <c r="T10" i="5"/>
  <c r="AI15" i="5"/>
  <c r="AO5" i="5"/>
  <c r="K6" i="5"/>
  <c r="L6" i="5" s="1"/>
  <c r="N7" i="5"/>
  <c r="T9" i="5"/>
  <c r="W10" i="5"/>
  <c r="Z11" i="5"/>
  <c r="AF13" i="5"/>
  <c r="AL15" i="5"/>
  <c r="AO3" i="5"/>
  <c r="AO4" i="5"/>
  <c r="AR5" i="5"/>
  <c r="K15" i="5"/>
  <c r="L15" i="5" s="1"/>
  <c r="N4" i="5"/>
  <c r="W7" i="5"/>
  <c r="AF10" i="5"/>
  <c r="N15" i="5"/>
  <c r="Q4" i="5"/>
  <c r="AF9" i="5"/>
  <c r="AL11" i="5"/>
  <c r="N14" i="5"/>
  <c r="N13" i="5"/>
  <c r="T15" i="5"/>
  <c r="W4" i="5"/>
  <c r="AC6" i="5"/>
  <c r="AI8" i="5"/>
  <c r="AO10" i="5"/>
  <c r="K11" i="5"/>
  <c r="L11" i="5" s="1"/>
  <c r="Q13" i="5"/>
  <c r="W15" i="5"/>
  <c r="Z4" i="5"/>
  <c r="AF6" i="5"/>
  <c r="AL8" i="5"/>
  <c r="AR10" i="5"/>
  <c r="K10" i="5"/>
  <c r="L10" i="5" s="1"/>
  <c r="O10" i="5" s="1"/>
  <c r="N11" i="5"/>
  <c r="T13" i="5"/>
  <c r="Z15" i="5"/>
  <c r="AC4" i="5"/>
  <c r="AL7" i="5"/>
  <c r="AO8" i="5"/>
  <c r="K9" i="5"/>
  <c r="L9" i="5" s="1"/>
  <c r="N10" i="5"/>
  <c r="Q11" i="5"/>
  <c r="W13" i="5"/>
  <c r="Z14" i="5"/>
  <c r="AC15" i="5"/>
  <c r="AF4" i="5"/>
  <c r="AI5" i="5"/>
  <c r="AO7" i="5"/>
  <c r="K8" i="5"/>
  <c r="L8" i="5" s="1"/>
  <c r="Q10" i="5"/>
  <c r="T11" i="5"/>
  <c r="Z13" i="5"/>
  <c r="AC14" i="5"/>
  <c r="AL5" i="5"/>
  <c r="AR7" i="5"/>
  <c r="K7" i="5"/>
  <c r="L7" i="5" s="1"/>
  <c r="Q9" i="5"/>
  <c r="W11" i="5"/>
  <c r="AC13" i="5"/>
  <c r="AL3" i="5"/>
  <c r="AL4" i="5"/>
  <c r="AR6" i="5"/>
  <c r="Z119" i="4"/>
  <c r="K5" i="5"/>
  <c r="L5" i="5" s="1"/>
  <c r="N6" i="5"/>
  <c r="Q7" i="5"/>
  <c r="W9" i="5"/>
  <c r="Z10" i="5"/>
  <c r="AC11" i="5"/>
  <c r="AI13" i="5"/>
  <c r="AO15" i="5"/>
  <c r="AR3" i="5"/>
  <c r="Z22" i="4"/>
  <c r="Z114" i="4"/>
  <c r="Z120" i="4"/>
  <c r="C16" i="5"/>
  <c r="Z60" i="4"/>
  <c r="Z89" i="4"/>
  <c r="Z106" i="4"/>
  <c r="Z30" i="4"/>
  <c r="Z45" i="4"/>
  <c r="Z40" i="4"/>
  <c r="Z99" i="4"/>
  <c r="Z76" i="4"/>
  <c r="Z46" i="4"/>
  <c r="Z42" i="4"/>
  <c r="Z91" i="4"/>
  <c r="Z47" i="4"/>
  <c r="Z71" i="4"/>
  <c r="Z5" i="4"/>
  <c r="Z59" i="4"/>
  <c r="Z84" i="4"/>
  <c r="Z79" i="4"/>
  <c r="Z54" i="4"/>
  <c r="Z97" i="4"/>
  <c r="T22" i="4"/>
  <c r="X22" i="4" s="1"/>
  <c r="T40" i="4"/>
  <c r="X40" i="4" s="1"/>
  <c r="T84" i="4"/>
  <c r="X84" i="4" s="1"/>
  <c r="T82" i="4"/>
  <c r="X82" i="4" s="1"/>
  <c r="Z82" i="4"/>
  <c r="T119" i="4"/>
  <c r="X119" i="4" s="1"/>
  <c r="T59" i="4"/>
  <c r="X59" i="4" s="1"/>
  <c r="T45" i="4"/>
  <c r="X45" i="4" s="1"/>
  <c r="T76" i="4"/>
  <c r="X76" i="4" s="1"/>
  <c r="T114" i="4"/>
  <c r="X114" i="4" s="1"/>
  <c r="T38" i="4"/>
  <c r="X38" i="4" s="1"/>
  <c r="Z96" i="4"/>
  <c r="T46" i="4"/>
  <c r="X46" i="4" s="1"/>
  <c r="T97" i="4"/>
  <c r="X97" i="4" s="1"/>
  <c r="T120" i="4"/>
  <c r="X120" i="4" s="1"/>
  <c r="O15" i="5" l="1"/>
  <c r="R15" i="5" s="1"/>
  <c r="U15" i="5" s="1"/>
  <c r="X15" i="5" s="1"/>
  <c r="R12" i="5"/>
  <c r="O7" i="5"/>
  <c r="R7" i="5" s="1"/>
  <c r="U7" i="5" s="1"/>
  <c r="X7" i="5" s="1"/>
  <c r="AA7" i="5" s="1"/>
  <c r="AD7" i="5" s="1"/>
  <c r="AG7" i="5" s="1"/>
  <c r="AJ7" i="5" s="1"/>
  <c r="AM7" i="5" s="1"/>
  <c r="AP7" i="5" s="1"/>
  <c r="AS7" i="5" s="1"/>
  <c r="AV7" i="5" s="1"/>
  <c r="AY7" i="5" s="1"/>
  <c r="R10" i="5"/>
  <c r="U10" i="5" s="1"/>
  <c r="X10" i="5" s="1"/>
  <c r="AA10" i="5" s="1"/>
  <c r="AD10" i="5" s="1"/>
  <c r="AG10" i="5" s="1"/>
  <c r="AJ10" i="5" s="1"/>
  <c r="AM10" i="5" s="1"/>
  <c r="AP10" i="5" s="1"/>
  <c r="AS10" i="5" s="1"/>
  <c r="AV10" i="5" s="1"/>
  <c r="AY10" i="5" s="1"/>
  <c r="U12" i="5"/>
  <c r="X12" i="5" s="1"/>
  <c r="AA12" i="5" s="1"/>
  <c r="AD12" i="5" s="1"/>
  <c r="O8" i="5"/>
  <c r="R8" i="5" s="1"/>
  <c r="U8" i="5" s="1"/>
  <c r="X8" i="5" s="1"/>
  <c r="AA8" i="5" s="1"/>
  <c r="AD8" i="5" s="1"/>
  <c r="O6" i="5"/>
  <c r="R6" i="5" s="1"/>
  <c r="U6" i="5" s="1"/>
  <c r="X6" i="5" s="1"/>
  <c r="AA6" i="5" s="1"/>
  <c r="AD6" i="5" s="1"/>
  <c r="AG6" i="5" s="1"/>
  <c r="AJ6" i="5" s="1"/>
  <c r="AM6" i="5" s="1"/>
  <c r="AP6" i="5" s="1"/>
  <c r="AS6" i="5" s="1"/>
  <c r="AV6" i="5" s="1"/>
  <c r="AY6" i="5" s="1"/>
  <c r="AG8" i="5"/>
  <c r="AJ8" i="5" s="1"/>
  <c r="AM8" i="5" s="1"/>
  <c r="AP8" i="5" s="1"/>
  <c r="AS8" i="5" s="1"/>
  <c r="AV8" i="5" s="1"/>
  <c r="AY8" i="5" s="1"/>
  <c r="AA15" i="5"/>
  <c r="AD15" i="5" s="1"/>
  <c r="AG15" i="5" s="1"/>
  <c r="AJ15" i="5" s="1"/>
  <c r="AM15" i="5" s="1"/>
  <c r="AP15" i="5" s="1"/>
  <c r="AS15" i="5" s="1"/>
  <c r="AV15" i="5" s="1"/>
  <c r="AY15" i="5" s="1"/>
  <c r="AG12" i="5"/>
  <c r="AJ12" i="5" s="1"/>
  <c r="AM12" i="5" s="1"/>
  <c r="AP12" i="5" s="1"/>
  <c r="AS12" i="5" s="1"/>
  <c r="AV12" i="5" s="1"/>
  <c r="AY12" i="5" s="1"/>
  <c r="O13" i="5"/>
  <c r="R13" i="5" s="1"/>
  <c r="U13" i="5" s="1"/>
  <c r="X13" i="5" s="1"/>
  <c r="AA13" i="5" s="1"/>
  <c r="AD13" i="5" s="1"/>
  <c r="AG13" i="5" s="1"/>
  <c r="AJ13" i="5" s="1"/>
  <c r="AM13" i="5" s="1"/>
  <c r="AP13" i="5" s="1"/>
  <c r="AS13" i="5" s="1"/>
  <c r="AV13" i="5" s="1"/>
  <c r="AY13" i="5" s="1"/>
  <c r="O9" i="5"/>
  <c r="R9" i="5" s="1"/>
  <c r="U9" i="5" s="1"/>
  <c r="X9" i="5" s="1"/>
  <c r="AA9" i="5" s="1"/>
  <c r="AD9" i="5" s="1"/>
  <c r="AG9" i="5" s="1"/>
  <c r="AJ9" i="5" s="1"/>
  <c r="AM9" i="5" s="1"/>
  <c r="AP9" i="5" s="1"/>
  <c r="AS9" i="5" s="1"/>
  <c r="AV9" i="5" s="1"/>
  <c r="AY9" i="5" s="1"/>
  <c r="O5" i="5"/>
  <c r="R5" i="5" s="1"/>
  <c r="U5" i="5" s="1"/>
  <c r="X5" i="5" s="1"/>
  <c r="AA5" i="5" s="1"/>
  <c r="AD5" i="5" s="1"/>
  <c r="AG5" i="5" s="1"/>
  <c r="AJ5" i="5" s="1"/>
  <c r="AM5" i="5" s="1"/>
  <c r="AP5" i="5" s="1"/>
  <c r="AS5" i="5" s="1"/>
  <c r="AV5" i="5" s="1"/>
  <c r="AY5" i="5" s="1"/>
  <c r="O14" i="5"/>
  <c r="R14" i="5" s="1"/>
  <c r="U14" i="5" s="1"/>
  <c r="X14" i="5" s="1"/>
  <c r="AA14" i="5" s="1"/>
  <c r="AD14" i="5" s="1"/>
  <c r="AG14" i="5" s="1"/>
  <c r="AJ14" i="5" s="1"/>
  <c r="AM14" i="5" s="1"/>
  <c r="AP14" i="5" s="1"/>
  <c r="AS14" i="5" s="1"/>
  <c r="AV14" i="5" s="1"/>
  <c r="AY14" i="5" s="1"/>
  <c r="O11" i="5"/>
  <c r="R11" i="5" s="1"/>
  <c r="U11" i="5" s="1"/>
  <c r="X11" i="5" s="1"/>
  <c r="AA11" i="5" s="1"/>
  <c r="AD11" i="5" s="1"/>
  <c r="AG11" i="5" s="1"/>
  <c r="AJ11" i="5" s="1"/>
  <c r="AM11" i="5" s="1"/>
  <c r="AP11" i="5" s="1"/>
  <c r="AS11" i="5" s="1"/>
  <c r="AV11" i="5" s="1"/>
  <c r="AY11" i="5" s="1"/>
  <c r="O4" i="5"/>
  <c r="R4" i="5" s="1"/>
  <c r="U4" i="5" s="1"/>
  <c r="X4" i="5" s="1"/>
  <c r="AA4" i="5" s="1"/>
  <c r="AD4" i="5" s="1"/>
  <c r="AG4" i="5" s="1"/>
  <c r="AJ4" i="5" s="1"/>
  <c r="AM4" i="5" s="1"/>
  <c r="AP4" i="5" s="1"/>
  <c r="AS4" i="5" s="1"/>
  <c r="AV4" i="5" s="1"/>
  <c r="AY4" i="5" s="1"/>
  <c r="E7" i="6" l="1"/>
  <c r="E22" i="6" s="1"/>
  <c r="H7" i="6"/>
  <c r="H22" i="6" s="1"/>
  <c r="G7" i="6"/>
  <c r="G22" i="6" s="1"/>
  <c r="I7" i="6"/>
  <c r="I22" i="6" s="1"/>
  <c r="F7" i="6"/>
  <c r="F22" i="6" s="1"/>
  <c r="AS3" i="5"/>
  <c r="AV3" i="5" s="1"/>
  <c r="AY3" i="5" s="1"/>
  <c r="AM3" i="5"/>
  <c r="AP3" i="5"/>
  <c r="R22" i="6" l="1"/>
  <c r="T2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SIEUTRAN</author>
  </authors>
  <commentList>
    <comment ref="Z3" authorId="0" shapeId="0" xr:uid="{6B3454DD-D2E3-4474-955D-1A8BB28BCBB0}">
      <text>
        <r>
          <rPr>
            <b/>
            <sz val="9"/>
            <color indexed="81"/>
            <rFont val="Tahoma"/>
            <family val="2"/>
          </rPr>
          <t>SIEUTRAN:</t>
        </r>
        <r>
          <rPr>
            <sz val="9"/>
            <color indexed="81"/>
            <rFont val="Tahoma"/>
            <family val="2"/>
          </rPr>
          <t xml:space="preserve">
BV Từ Dũ, Nhiệt Đới TW ==&gt; Không chắc chắn
</t>
        </r>
      </text>
    </comment>
    <comment ref="Z12" authorId="0" shapeId="0" xr:uid="{788F85A2-CA1B-477A-9C70-9180CD1A877A}">
      <text>
        <r>
          <rPr>
            <b/>
            <sz val="9"/>
            <color indexed="81"/>
            <rFont val="Tahoma"/>
            <family val="2"/>
          </rPr>
          <t>SIEUTRAN:</t>
        </r>
        <r>
          <rPr>
            <sz val="9"/>
            <color indexed="81"/>
            <rFont val="Tahoma"/>
            <family val="2"/>
          </rPr>
          <t xml:space="preserve">
RHM Thành phố ==&gt; Không chắc</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SIEUTRAN</author>
  </authors>
  <commentList>
    <comment ref="AM1" authorId="0" shapeId="0" xr:uid="{4BDB01A7-5A31-44F4-BE90-188C89ECA3B6}">
      <text>
        <r>
          <rPr>
            <b/>
            <sz val="9"/>
            <color indexed="81"/>
            <rFont val="Tahoma"/>
            <family val="2"/>
          </rPr>
          <t>SIEUTRAN:</t>
        </r>
        <r>
          <rPr>
            <sz val="9"/>
            <color indexed="81"/>
            <rFont val="Tahoma"/>
            <family val="2"/>
          </rPr>
          <t xml:space="preserve">
Giả định tháng 4/27 và 5/27 tương đương tháng 3</t>
        </r>
      </text>
    </comment>
  </commentList>
</comments>
</file>

<file path=xl/sharedStrings.xml><?xml version="1.0" encoding="utf-8"?>
<sst xmlns="http://schemas.openxmlformats.org/spreadsheetml/2006/main" count="1963" uniqueCount="415">
  <si>
    <t>Pháp nhân bán hàng</t>
  </si>
  <si>
    <t>(Multiple Items)</t>
  </si>
  <si>
    <t>Row Labels</t>
  </si>
  <si>
    <t>Sum of Doanh thu ước tính</t>
  </si>
  <si>
    <t>Exeol OPA 5L</t>
  </si>
  <si>
    <t>Exeol sept 2E 1L</t>
  </si>
  <si>
    <t>Exeol clean 4E 1L</t>
  </si>
  <si>
    <t>Exeol clean 4E 5L</t>
  </si>
  <si>
    <t>Exeol surf 30 1L</t>
  </si>
  <si>
    <t>Exeol sept first 5L</t>
  </si>
  <si>
    <t>Exeol surf optimal 750ml</t>
  </si>
  <si>
    <t>Exeol GTA 2% 5L</t>
  </si>
  <si>
    <t>Exeol sept first 1L</t>
  </si>
  <si>
    <t>Exeol wipe optimal</t>
  </si>
  <si>
    <t>Exeol sept 2E 5L</t>
  </si>
  <si>
    <t>Exeol surf 30 5L</t>
  </si>
  <si>
    <t>Grand Total</t>
  </si>
  <si>
    <t>Bệnh viện An Bình</t>
  </si>
  <si>
    <t>Bệnh Viện Bắc Thăng Long</t>
  </si>
  <si>
    <t>Bệnh viện Bãi Cháy</t>
  </si>
  <si>
    <t>Bệnh viện Đa Khoa An Giang</t>
  </si>
  <si>
    <t>Bệnh viện đa khoa Chương Mỹ</t>
  </si>
  <si>
    <t>Bệnh viện đa khoa Đông Anh</t>
  </si>
  <si>
    <t>Bệnh Viện Đa Khoa Đống Đa</t>
  </si>
  <si>
    <t>Bệnh viện Đa Khoa Hà Trung</t>
  </si>
  <si>
    <t>Bệnh viện đa khoa Khu Vực Cù Lao Minh</t>
  </si>
  <si>
    <t>Bệnh viện đa khoa Phú Xuyên</t>
  </si>
  <si>
    <t>Bệnh viện Đa Khoa Sơn Tây</t>
  </si>
  <si>
    <t>Bệnh viện Đa Khoa Tỉnh Trà Vinh</t>
  </si>
  <si>
    <t>Bệnh viện Điều dưỡng Phục hồi chức năng Trung ương</t>
  </si>
  <si>
    <t>Bệnh viện Huyện Bình Chánh</t>
  </si>
  <si>
    <t>Bệnh viện Nguyễn Trãi</t>
  </si>
  <si>
    <t>Bệnh viện Phạm Ngọc Thạch</t>
  </si>
  <si>
    <t>Bệnh Viện Phổi Trung Ương</t>
  </si>
  <si>
    <t>Bệnh Viện Răng Hàm Mặt Thành Phố Hồ Chí Minh</t>
  </si>
  <si>
    <t>Bệnh Viện Tim Hà Nội</t>
  </si>
  <si>
    <t>Bệnh viện Vũng Tàu</t>
  </si>
  <si>
    <t>Trung Tâm Y Tế Thành Phố Dĩ An</t>
  </si>
  <si>
    <t>Viện Y học cổ truyền Quân đội</t>
  </si>
  <si>
    <t>BỆNH VIỆN CHẤN THƯƠNG CHỈNH HÌNH</t>
  </si>
  <si>
    <t>Bệnh viện Công an Thành phổ Hồ Chí Minh</t>
  </si>
  <si>
    <t>Bệnh viện đa khoa Hậu Giang</t>
  </si>
  <si>
    <t>Bệnh viện Đa khoa Khánh Hội</t>
  </si>
  <si>
    <t>Bệnh viện đa khoa Vĩnh Long</t>
  </si>
  <si>
    <t>Bệnh viện Mắt</t>
  </si>
  <si>
    <t>Bệnh viện quân y 120</t>
  </si>
  <si>
    <t>Bệnh viện Truyền Máu Huyết Học</t>
  </si>
  <si>
    <t>Bệnh viện Bệnh Nhiệt đới Trung ương</t>
  </si>
  <si>
    <t>Bệnh viện Bưu Điện</t>
  </si>
  <si>
    <t>Bệnh Viện Phụ Sản Hà Nội</t>
  </si>
  <si>
    <t>Bệnh viện Thể thao Việt Nam</t>
  </si>
  <si>
    <t>Bệnh viện Chợ Rẫy</t>
  </si>
  <si>
    <t>Bệnh viện Đa Khoa Khu Vực Thủ Đức</t>
  </si>
  <si>
    <t>Bệnh viện Từ Dũ</t>
  </si>
  <si>
    <t>TRUNG TÂM Y TẾ KHU VỰC SÀI GÒN</t>
  </si>
  <si>
    <t>Viện Y dược học dân tộc</t>
  </si>
  <si>
    <t>Bệnh viện đa khoa Khu Vực Củ Chi</t>
  </si>
  <si>
    <t>Bệnh viện E</t>
  </si>
  <si>
    <t>Bệnh Viện Phụ Sản Trung Ương</t>
  </si>
  <si>
    <t>Bệnh viện Thành Phố Thủ Đức</t>
  </si>
  <si>
    <t>Đại Học Y Dược Thành Phố Hồ Chí Minh</t>
  </si>
  <si>
    <t>Trường Đại học Trà Vinh</t>
  </si>
  <si>
    <t>Bệnh viện Nhi Đồng 1</t>
  </si>
  <si>
    <t>Bệnh Viện Tâm Thần Mỹ Đức</t>
  </si>
  <si>
    <t>Trung tâm Y tế khu vực Phan Rang _ Tháp Chàm</t>
  </si>
  <si>
    <t>Bệnh viện Tai Mũi Họng</t>
  </si>
  <si>
    <t>Bệnh Viện Quận Bình Tân</t>
  </si>
  <si>
    <t>STT</t>
  </si>
  <si>
    <t>TÊN HÀNG HÓA</t>
  </si>
  <si>
    <t>QUY CÁCH THÙNG</t>
  </si>
  <si>
    <t>ITEM CODE</t>
  </si>
  <si>
    <t>LOT</t>
  </si>
  <si>
    <t>DATE</t>
  </si>
  <si>
    <t>ĐƠN VỊ TÍNH</t>
  </si>
  <si>
    <t>SỐ LƯỢNG ĐẦU KỲ</t>
  </si>
  <si>
    <t>13/11/2025</t>
  </si>
  <si>
    <t>25/11/2025</t>
  </si>
  <si>
    <t>CÒN LẠI</t>
  </si>
  <si>
    <t>EXEOL STRIPS GTA 2% - Z1</t>
  </si>
  <si>
    <t>Thùng 50 ống 100 que thử</t>
  </si>
  <si>
    <t>AC0174</t>
  </si>
  <si>
    <t>31/05/2027</t>
  </si>
  <si>
    <t>ống</t>
  </si>
  <si>
    <t>EXEOL STRIPS OPA - Z1</t>
  </si>
  <si>
    <t>AC0176</t>
  </si>
  <si>
    <t>30/11/2026</t>
  </si>
  <si>
    <t>EXEOL SURF 30 (BPR) 12X1L</t>
  </si>
  <si>
    <t>Thùng 12 chai 1L</t>
  </si>
  <si>
    <t>EXS0034FR</t>
  </si>
  <si>
    <t>4S49N4042</t>
  </si>
  <si>
    <t>chai</t>
  </si>
  <si>
    <t>EXEOL SURF 30 (BPR) 4X5L</t>
  </si>
  <si>
    <t>Thùng 4 can 5L</t>
  </si>
  <si>
    <t>EXS0035FR</t>
  </si>
  <si>
    <t>5S05N0381</t>
  </si>
  <si>
    <t>30/12/2026</t>
  </si>
  <si>
    <t>can</t>
  </si>
  <si>
    <t>5S24N2184</t>
  </si>
  <si>
    <t>EXEOL SURF OPTIMAL 12X750ML</t>
  </si>
  <si>
    <t>Thùng 12 chai 750mL</t>
  </si>
  <si>
    <t>EXS0038Z1</t>
  </si>
  <si>
    <t>5S24N2179</t>
  </si>
  <si>
    <t>EXEOL WIPES OPTIMAL 12X100</t>
  </si>
  <si>
    <t>Thùng 12 hộp 100 miếng</t>
  </si>
  <si>
    <t>EXS00412F</t>
  </si>
  <si>
    <t>5S12N1093</t>
  </si>
  <si>
    <t>17/02/2027</t>
  </si>
  <si>
    <t>túi</t>
  </si>
  <si>
    <t>EXEOL SEPT FIRST 6X1L DOS 20ML</t>
  </si>
  <si>
    <t>Thùng 6 chai 1L kèm bơm định lượng 20mL</t>
  </si>
  <si>
    <t>EXS0043FR-01</t>
  </si>
  <si>
    <t>5S23N2032</t>
  </si>
  <si>
    <t>5S28N2509</t>
  </si>
  <si>
    <t>EXEOL SEPT E2 6X1L DOSEUR 20ML</t>
  </si>
  <si>
    <t>EXS0046EN</t>
  </si>
  <si>
    <t>5S07N0666</t>
  </si>
  <si>
    <t>EXEOL CLEAN 4E 6X1L DOSE 20ML</t>
  </si>
  <si>
    <t>EXS0060Z1</t>
  </si>
  <si>
    <t>5S16N1487</t>
  </si>
  <si>
    <t>23/03/2027</t>
  </si>
  <si>
    <t>EXEOL SEPT E2 4X5L +1 PPE 20ML</t>
  </si>
  <si>
    <t>Thùng 4 can 5L kèm bơm định lượng20mL</t>
  </si>
  <si>
    <t>EXS0087EN</t>
  </si>
  <si>
    <t>5S25N2268</t>
  </si>
  <si>
    <t>18/05/2027</t>
  </si>
  <si>
    <t>EXEOL SEPT FIRST 4X5L+1PP 20ML</t>
  </si>
  <si>
    <t>EXS0088FR_01</t>
  </si>
  <si>
    <t>5S23N2086</t>
  </si>
  <si>
    <t>EXEOL CLEAN 4E 4X5L+1 PPE 20ML</t>
  </si>
  <si>
    <t>EXS0091Z1</t>
  </si>
  <si>
    <t>5S06N0570</t>
  </si>
  <si>
    <t>13/01/2027</t>
  </si>
  <si>
    <t>EXEOL GTA 2% 4X5L</t>
  </si>
  <si>
    <t>EXS0092Z1</t>
  </si>
  <si>
    <t>5S16N1564</t>
  </si>
  <si>
    <t>16/03/2027</t>
  </si>
  <si>
    <t>5S24N2177</t>
  </si>
  <si>
    <t>EXEOL OPA 4X5L</t>
  </si>
  <si>
    <t>EXS0095Z1</t>
  </si>
  <si>
    <t>5S24N2186</t>
  </si>
  <si>
    <t>Tháng</t>
  </si>
  <si>
    <t>Năm</t>
  </si>
  <si>
    <t>Ngành hàng</t>
  </si>
  <si>
    <t>KV</t>
  </si>
  <si>
    <t>Tên PS</t>
  </si>
  <si>
    <t>Số IB</t>
  </si>
  <si>
    <t>Tên Khách hàng</t>
  </si>
  <si>
    <t>Hãng SX</t>
  </si>
  <si>
    <t>Tên mặt hàng dự thầu</t>
  </si>
  <si>
    <t>Sodel</t>
  </si>
  <si>
    <t>Phân nhóm lớn sản phẩm trúng thầu</t>
  </si>
  <si>
    <t>Phân nhóm nhỏ sản phẩm trúng thầu</t>
  </si>
  <si>
    <t>Nhập khẩu/ Việt Nam</t>
  </si>
  <si>
    <t>Dung tích</t>
  </si>
  <si>
    <t xml:space="preserve"> Số lượng trúng thầu </t>
  </si>
  <si>
    <t xml:space="preserve">  Đơn giá trúng thầu  </t>
  </si>
  <si>
    <t>Đơn giá Sodel</t>
  </si>
  <si>
    <t xml:space="preserve">   Giá trị trúng thầu   </t>
  </si>
  <si>
    <t>Giá trị trúng thầu (chưa VAT) SODEL</t>
  </si>
  <si>
    <t>Tỷ lệ
trúng thầu</t>
  </si>
  <si>
    <t>Cấu hình trúng thầu</t>
  </si>
  <si>
    <t>Số tháng phát sinh</t>
  </si>
  <si>
    <t>Doanh thu ước tính</t>
  </si>
  <si>
    <t>CPK</t>
  </si>
  <si>
    <t>%Margin</t>
  </si>
  <si>
    <t>KSNK</t>
  </si>
  <si>
    <t>MN</t>
  </si>
  <si>
    <t>Huỳnh Thị Thùy Linh</t>
  </si>
  <si>
    <t>IB2400555229</t>
  </si>
  <si>
    <t>Zhivas</t>
  </si>
  <si>
    <t>Zhivasept Opa</t>
  </si>
  <si>
    <t>Xử lý dụng cụ</t>
  </si>
  <si>
    <t>KK mức độ cao</t>
  </si>
  <si>
    <t>Nhập khẩu</t>
  </si>
  <si>
    <t>Hào Tín</t>
  </si>
  <si>
    <t>Dung dịch khử khuẩn dụng cụ Ortho- Phthalaldehyde 0,55%
- Thành phần chính: Ortho-phthalaldehyde 0,55%; pH = 65 - 85, dung dịch pha sẵn (không cần hoạt hóa)
- Khử khuẩn mức độ cao trong 5 phút các dụng cụ nội khoa, ngoại khoa, dụng cụ nội soi và dụng cụ không chịu nhiệt
- Không mùi, không gây ăn mòn dụng cụ
- Phổ diệt khuẩn rộng: diệt khuẩn EN 14561, diệt nấm EN 14562, diệt virus EN 14476, diệt vi khuẩn lao EN 14563
- Tái sử dụng trong 14 ngày (tặng kèm test thử để kiểm tra nồng độ OPA)
- Quy cách: Can 5 lít
Tiêu chuẩn chất lượng ISO 13485:2016, CE</t>
  </si>
  <si>
    <t>Anios</t>
  </si>
  <si>
    <t>Anios’Clean Excel D</t>
  </si>
  <si>
    <t>Làm sạch và tiền KK</t>
  </si>
  <si>
    <t>1 Thành phần: 6,5% Didecyldimethyl ammonium chloride + 0,074% Chlorhexidine digluconate, chất hoạt động bề mặt non-ionic
2 Làm sạch và khử khuẩn dụng cụ y tế
Nồng độ sử dụng 05% (25ml trong 5 lít nước)
pH = 66 - 76
Thời gian tiếp xúc: từ 5 phút
Quy cách: Can 5 lít
3 Hiệu quả diệt khuẩn
- Diệt khuẩn EN 14561
- Diệt nấm EN 14562
- Diệt vi khuẩn lao EN 14563
- Diệt virus Vaccinia EN 17111
4 Đạt tiêu chuẩn CE, ISO 13485, ISO 9001</t>
  </si>
  <si>
    <t>Nguyễn Thái Hằng</t>
  </si>
  <si>
    <t>IB2400542262</t>
  </si>
  <si>
    <t>Aniosyme X3</t>
  </si>
  <si>
    <t>SPC</t>
  </si>
  <si>
    <t>14% N,N-Didecyl-N-Methyl-poly(oxyethyl)ammonium propionate + 0,3% Chlorhexidine digluconate Hỗn hợp 3 enzym: protease, lipase và amylase Tiêu chuẩn ISO/TS 15883-5:2005EN 14561, EN 14476</t>
  </si>
  <si>
    <t>Wip'Anios Excel</t>
  </si>
  <si>
    <t>Xử lý bề mặt</t>
  </si>
  <si>
    <t>Khăn lau</t>
  </si>
  <si>
    <t>Khăn tẩm dung dịch Didecyldimethyl ammonium chloride 03% và không chứa cồn
Làm sạch &amp; khử khuẩn bề mặt, lau sơ bộ ống nội soi trước khi ngâm làm sạch và khử khuẩn
Phân hủy vi sinh 100%
Đạt tiêu chuẩn EN 16615
Thời gian tiếp xúc: từ 2 phút
Diệt virus theo tiêu chuẩn EN 14476
Ổn định trong 3 tháng kể từ ngày mở túi</t>
  </si>
  <si>
    <t>MB</t>
  </si>
  <si>
    <t>Phạm Thị Huyền Châm</t>
  </si>
  <si>
    <t>Steranios 2%</t>
  </si>
  <si>
    <t>Asp</t>
  </si>
  <si>
    <t>Cidezyme</t>
  </si>
  <si>
    <t>Hứa Thùy Linh</t>
  </si>
  <si>
    <t>IB2500081754</t>
  </si>
  <si>
    <t>Phương Nam</t>
  </si>
  <si>
    <t>Thành phần: ≥ 0,55% Ortho- Phthalaldehyde, pH=7-7,8, dung dịch sẵn sàng sử dụng (không cần hoạt hóa).
Thời gian ngâm khử khuẩn ≤ 5 phút (ngâm ngập dụng cụ theo phương pháp ngâm thủ công).
Tái sử dụng trong 14 ngày có kèm test thử để kiểm tra nồng độ.
Đạt tiêu chuẩn ISO 13485:2016, chứng nhận CE
Có tối thiểu 01 CFS thuộc G7, Châu Âu hoặc Úc.
Can 5 lít</t>
  </si>
  <si>
    <t>IB2500091193</t>
  </si>
  <si>
    <t>Aniospray Surf 29</t>
  </si>
  <si>
    <t>Phun tay</t>
  </si>
  <si>
    <t>1 Thành phần: 0,05% Didecyldimethyl ammonium chloride + 0,06% Chlorhexidine digluconate kết hợp 22,57% Ethanol
2 Khử khuẩn nhanh các bề mặt
3 Hiệu quả diệt khuẩn, diệt nấm theo EN 13697
Diệt virus (PRV, BVDV, HSV 1) từ 1 phút
- Xuất xứ: Pháp
4 Đạt tiêu chuẩn CE, ISO 13485, ISO 9001</t>
  </si>
  <si>
    <t>Nghiêm Thị Quỳnh Hương</t>
  </si>
  <si>
    <t>IB2500098500</t>
  </si>
  <si>
    <t>Opaster'Anios</t>
  </si>
  <si>
    <t>0,55% Ortho- Phthalaldehyde, pH=7  pha sẵn khử khuẩn mức độ cao dụng cụ nội soi và dụng cụ không chịu nhiệt. Không mùi, không hoạt hóa. pH = 7.</t>
  </si>
  <si>
    <t>2% Glutaraldehyde, pH=6  khử khuẩn mức độ cao dụng cụ nội soi và các dụng cụ không chịu nhiệt. Dung dịch pha sẵn không cần hoạt hóa. pH = 6. Diệt khuẩn theo tiêu chuẩn EN 14561, diệt nấm theo tiêu chuẩn EN 14562, diệt virus theo tiêu chuẩn EN 14476 +A1 và diệt Mycobacteria</t>
  </si>
  <si>
    <t>Dr.Weigert</t>
  </si>
  <si>
    <t>Nguyễn Thị Tình</t>
  </si>
  <si>
    <t>Aniosyme Synergy 5</t>
  </si>
  <si>
    <t> </t>
  </si>
  <si>
    <t>Nguyễn Thị Xuân Hồng</t>
  </si>
  <si>
    <t>IB2500074073</t>
  </si>
  <si>
    <t>Surfa'Safe Premium</t>
  </si>
  <si>
    <t>1. Thành phần: 0.3% Didecyldimethyl ammonium chloride, chất HĐBM, không chứa cồn
2. Làm sạch và khử khuẩn bề mặt trang thiết bị y tế.
Tương thích với Polycarbonate, plexiglas.
Dung dịch không mùi, không chứ cồn
Thời gian tiếp xúc: từ 2 phút
3. Hiệu quả diệt khuẩn Staphylococcus aureus, Pseudomonas aeruginosa, Candida albicans sau 2 phút tiếp xúc
Đạt tiêu chuẩn EN 13727, EN13624, EN13697 đánh giá hiệu quả dùng trong y tế.
Thể tích đóng gói: Chai 750ml. Đầu phun tạo bọt.</t>
  </si>
  <si>
    <t>1. Thành phần: 0,05% Didecyldimethyl ammonium chloride + 0,06% Chlorhexidine digluconate kết hợp 22,57% Ethanol
Thể tích: chai 1 lít
2. Khử khuẩn nhanh các bề mặt
3. Hiệu quả diệt khuẩn, diệt nấm theo EN 13697 đối với diệt khuẩn (kể cả vi khuẩn đa kháng như Acinetobacter baumanni), diệt nấm (Candida albicans, Candida auris)
Diệt virus (PRV, BVDV, HSV 1...) theo tiêu chuẩn EN 14476 từ 1 phút
Cách dùng: phun xịt bề mặt và lau, thể tích đóng gói 1000ml.</t>
  </si>
  <si>
    <t>ASP</t>
  </si>
  <si>
    <t>CIDEZYME</t>
  </si>
  <si>
    <t>IB2500005654</t>
  </si>
  <si>
    <t>1. Thành phần: 6,5% Didecyldimethyl ammonium chloride + 0,074% Chlorhexidine digluconate, chất hoạt động bề mặt non-ionic.
2. Làm sạch và khử khuẩn dụng cụ y tế.
Nồng độ sử dụng 0.5% (25ml trong 5 lít nước)
pH = 6.6 - 7.6
Thời gian tiếp xúc: từ 5 phút
Can 5L với vòi bơm 25ml
3. Hiệu quả diệt khuẩn
- Diệt khuẩn theo EN 14561 (Pseudomonas aeruginosa, Staphylococcus aureus, Enterococcus hirae...) thử nghiệm với nước cứng
- Diệt các chủng vi khuẩn đa kháng như MRSA, ESBL, VRE theo EN 13727
- Diệt virus HIV-1, HBV, HCV, HSV theo EN 14476
4. Đạt tiêu chuẩn: ISO 15883 (ngăn hình thành màng Biofilm)
5. Đạt tiêu chuẩn CE, ISO 13485
6. Cấp phép lưu hành theo qui định của Bộ Y tế/ Giấy chứng nhận đăng ký lưu hành chế phẩm diệt côn trùng, diệt khuẩn dùng trong lĩnh vực gia dụng và y tế</t>
  </si>
  <si>
    <t>Metrex</t>
  </si>
  <si>
    <t>IB2500261709</t>
  </si>
  <si>
    <t>-Dung dịch ngâm tẩy rửa dụng cụ hoạt tính enzyme, hiệu quả nhanh sau 1 phút. - Thành phần: protease subtilisin 0,5% - pH trung tính không gây ăn mòn dụng cụ - Tương thích với nhiều loại dụng cụ: Silicone, cao su, PTFE, polyurethane, kim loại,…</t>
  </si>
  <si>
    <t>Neodisher MediClean Forte</t>
  </si>
  <si>
    <t>Chi tiết theo bản chào kỹ thuật</t>
  </si>
  <si>
    <t>Nguyễn Thị Kim Ngọc</t>
  </si>
  <si>
    <t>IB2500081127</t>
  </si>
  <si>
    <t>Miền Tây</t>
  </si>
  <si>
    <t>Xin xem Bảng danh mục hàng hóa dự thầu</t>
  </si>
  <si>
    <t>IB2500108600</t>
  </si>
  <si>
    <t>Theo bản đáp ứng kỹ thuật đính kèm</t>
  </si>
  <si>
    <t>IB2500052480</t>
  </si>
  <si>
    <t>1. Dung dịch làm sạch và khử khuẩn dụng cụ y tế.
   - Được thử nghiệm với nước cứng, pH dung dịch chưa pha loãng: từ 6.5 - 7.5
 2. Đạt tiêu chuẩn: ISO/TS 15883-5:2006 (chống lại màng Biofilm)
 3. Hiệu quả diệt khuẩn:
   - Diệt khuẩn EN 14561 (Pseudomonas aeruginosa, Staphylococcus aureus, Enterococcus hirae...),  diệt các chủng đa kháng như MRSA, ESBL, VRE theo tiêu chuẩn EN 13727+A1 trong 5 - 15 phút
   - Diệt virus HIV-1, HBV, HCV, HSV, Vacinia theo tiêu chuẩn Châu Âu EN 14476+A1 trong 5 phút.
   - Nồng độ sử dụng 0.5% (25ml trong 5 lít nước), có vòi bơm định lượng đi kèm
   - Quy cách đóng gói: Can 5 lít</t>
  </si>
  <si>
    <t>IB2500052481</t>
  </si>
  <si>
    <t>1. Dung dịch làm sạch và tiền khử khuẩn dụng cụ
  - Thành phần chất làm sạch và khử nhiễm: 14% N,N-Didecyl-N-Methyl-poly(oxyethyl)ammonium propionate + 0,3% Chlorhexidine digluconate, hỗn hợp 3 enzym: Protease, Lipase, Amylase, chất hoạt động bề mặt
2. Hiệu quả chống lại màng bioflim theo tiêu chuẩn EN 15883
3. Hiệu quả diệt khuẩn:
   - Diệt khuẩn theo tiêu chuẩn EN 14561
   - Diệt virus theo tiêu chuẩn EN 14476
4. Được thử nghiệm với nước cứng
   - Nồng độ sử dụng 0.5%
   - Quy cách đóng gói : Chai 1 lít</t>
  </si>
  <si>
    <t>IB2500052482</t>
  </si>
  <si>
    <t>1. Dung dịch làm sạch và tiền khử khuẩn dụng cụ
  - Thành phần chất làm sạch và khử nhiễm: 14% N,N-Didecyl-N-Methyl-poly(oxyethyl)ammonium propionate + 0,3% Chlorhexidine digluconate, hỗn hợp 3 enzym: Protease, Lipase, Amylase, chất hoạt động bề mặt
2. Hiệu quả chống lại màng bioflim theo tiêu chuẩn EN 15883
3. Hiệu quả diệt khuẩn:
   - Diệt khuẩn theo tiêu chuẩn EN 14561
   - Diệt virus theo tiêu chuẩn EN 14476
4. Được thử nghiệm với nước cứng
   - Nồng độ sử dụng 0.5%
   - Quy cách đóng gói : Can lít</t>
  </si>
  <si>
    <t>IB2500052483</t>
  </si>
  <si>
    <t>1. Dung dịch khử khuẩn mức độ cao dụng cụ nội soi và dụng cụ không chịu nhiệt  trong 5 phút.
   - Thành phần: 0,55% Ortho- Phthalaldehyde,
 2. Dung dịch pha sẵn không cần hoạt hoá, pH=7
   -  Quy cách đóng gói : Can 5 lít
   - Tương thích thành bộ với "Dung dịch tẩy rửa sinh học đa enzyme"
 3. Hiệu quả diệt khuẩn:
   - Diệt khuẩn theo tiêu chuẩn EN 14561
   - Diệt nấm theo tiêu chuẩn EN 14562
   - Diệt virus theo tiêu chuẩn EN 14476
   - Diệt vi khuẩn lao EN 14563 (Mycobacterium terrae, Mycobacterium avium...)
   - Diệt bào tử trong 30 phút theo EN 17126
   - Diệt virus EN 17111 (Adenovirus...)
   - Tái sử dụng trong 14 ngày (tặng kèm test thử để kiểm tra nồng độ OPA)
4. Có tài liệu chứng minh tương thích với ống nội soi hãng Olympus/Karl Stozr</t>
  </si>
  <si>
    <t>IB2500052484</t>
  </si>
  <si>
    <t>1. Dung dịch tẩy rửa dụng cụ đa enzyme có thành phần: 5 enzyme protease, lipase, amylase, mannanase, cellulase,
2. Hiệu quả chống lại màng biofilm vi khuẩn Pseudomonas aeruginosa theo tiêu chuẩn ISO/TS 15883-5
3. Đạt tiêu chuẩn ISO 11930 (Khả năng kháng khuẩn của sản phẩm)
4. Phù hợp với mọi chất lượng nước khác nhau (nước mềm hoặc nước chưa xử lý)
   - Công thức không chứa chất bay hơi
   -  pH = 6.89-7.29
   - Nồng độ sử dụng: 0,1 - 0,5%
   - Quy cách đóng gói: Can 5 lít
   - Tương thích thành bộ với "Dung dịch khử khuẩn mức độ cao cho dụng cụ nội soi"</t>
  </si>
  <si>
    <t>ANIOSYME SYNERGY 5</t>
  </si>
  <si>
    <t>IB2500212350</t>
  </si>
  <si>
    <t>1. Thành phần: 6,5% Didecyldimethyl ammonium chloride + 0,074% Chlorhexidine digluconate, chất hoạt động bề mặt non-ionic.
2. Làm sạch và khử khuẩn dụng cụ y tế.
Nồng độ sử dụng 0.5% (25ml trong 5 lít nước)
pH = 6.6 - 7.6
Thời gian tiếp xúc: từ 5 phút
3. Hiệu quả diệt khuẩn
- Diệt khuẩn EN 14561 (Pseudomonas aeruginosa, Staphylococcus aureus, Enterococcus hirae...)
- Diệt nấm EN 14562 (Candida albicans, Aspergillus niger...)
- Diệt vi khuẩn lao EN 14563 (Mycobacterium terrae...)
- Diệt virus HIV-1, HBV, HCV, HSV,
- Diệt Vacinia EN 17111
4. Đạt tiêu chuẩn: ISO 15883 (chống lại màng Biofilm)
5. Đạt tiêu chuẩn CE, ISO 13485, ISO 9001</t>
  </si>
  <si>
    <t>ANIOSYME X3</t>
  </si>
  <si>
    <t>1. Thành phần: 14% N,N-Didecyl-N-Methyl-poly(oxyethyl)ammonium propionate + 0,3% Chlorhexidine digluconate, hỗn hợp 3 enzym: 0.5%-2% Protease, 0.1%-0.5% Lipase, 0.1%-0.5% Amylase, chất hoạt động bề mặt
2. Làm sạch và khử nhiễm.
Thời gian tiếp xúc: từ 5 phút
Nồng độ sử dụng 0.5% (25ml dung dịch trong 5 lít nước)
3. Đạt tiêu chuẩn: ISO 15883 (chống lại màng Biofilm )
4. Hiệu quả diệt khuẩn:
Diệt khuẩn EN 14561 (Staphylococcus aureus, Pseudomonas aeruginosa, Enterococcus hirae...)
Diệt virus EN 14476 (HIV-1, HBV, HCV,HSV 1...)
Diệt virus có vỏ bọc theo tiêu chuẩn EN 17111 (Vaccinia virus...)
5. Đạt tiêu chuẩn CE, ISO 13485, ISO 9001</t>
  </si>
  <si>
    <t>STERANIOS 2%</t>
  </si>
  <si>
    <t>IB2500225569</t>
  </si>
  <si>
    <t>IB2500302767</t>
  </si>
  <si>
    <t>Thành phần: 2% Glutaraldehyde không cần hoạt hóa, pH=6
Khử khuẩn mức độ cao ≤ 10 phút.
Diệt bào tử ≤ 60 phút. 
Tái sử dụng trong 30 ngày (tặng kèm test thử).
Đạt ISO 13485, CE.</t>
  </si>
  <si>
    <t>Thành phần: 0,55% Ortho- Phthalaldehyde, pH=7, dung dịch sẵn sàng sử dụng (không cần hoạt hóa).
Khử khuẩn mức độ cao ≤ 5 phút.
Diệt bào tử ≤ 30 phút. 
Tái sử dụng trong 14 ngày (tặng kèm test thử để kiểm tra nồng độ OPA).
Đạt ISO 13485, CE.</t>
  </si>
  <si>
    <t>Dung dịch tẩy rửa dựa trên hoạt tính Enzym. Khử khuẩn và làm sạch dụng cụ. Thành phần chính: Protease enzyme 5%. Tiêu chuẩn chất lượng: ISO 13485</t>
  </si>
  <si>
    <t>IB2500090160</t>
  </si>
  <si>
    <t>WIP'ANIOS EXCEL</t>
  </si>
  <si>
    <t>1. Khăn tẩm dung dịch Didecyldimethyl ammonium chloride 0.3%, không chứa cồn
2. Làm sạch &amp; khử khuẩn bề mặt, lau sơ bộ ống nội soi trước khi ngâm làm sạch và khử khuẩn, làm sạch và khử khuẩn chuyên dụng cho đầu dò siêu âm
Khăn lau với chất liệu visco 100% phân hủy sinh học
3. Kích thước 180 x 200 mm
Hiệu quả diệt khuẩn
Diệt virus HIV, HBV, HCV, Vaccinia virus, Rotavirus trong 1 phút  EN 14476
Diệt vi khuẩn, nấm EN 16615 trong 2 phút
4. Đạt tiêu chuẩn CE, ISO 13485, ISO 9001</t>
  </si>
  <si>
    <t>IB2500266269</t>
  </si>
  <si>
    <t>IB2500253771</t>
  </si>
  <si>
    <t>Dung dịch Khử khuẩn mức độ cao trong 5 phút, Thành phần: 0,55% Ortho- Phthalaldehyde, pH=7, dung dịch sẵn sàng sử dụng (không cầnhoạt hóa), Đạt tiêu chuẩn EN 14561, EN 14562, EN 17111 và EN 14563, Tái sử dụng trong 14 ngày (tặng kèm test thử để kiểm tra nồng độ OPA), Thời gian bảo quản dung dịch trong can sau khi mở nắp đến 3 năm, Tương thích với ống nội soi của nhiều hãng, Xuất xứ G7 ,</t>
  </si>
  <si>
    <t>Dung dịch tẩy rửa có thành phần: Hỗn hợp 5 enzyme Protease, Lipase, Amylase, Mannanase, Cellulase, có thể sử dụng cho máy rửa khử khuẩn, Đạt tiêu chuẩn ISO 11930, Hiệu quả chống lại màng biofilm vi khuẩn Pseudomonas aeruginosa theo tiêu chuẩn ISO/TS 15883-5, Nồng độ sử dụng: từ 0,1% (máy rửa), pH = 6,8-7,89, Thời gian: từ 5 phút, Phù hợp với mọi chất lượng nước khác nhau, Xuất xứ G7,</t>
  </si>
  <si>
    <t>Dung dịch làm sạch và khử khuẩn dụng cụ y tế, Thành phần: Didecyldimethyl ammoniumchloride, Chlorhexidine digluconate, chất hoạt động bề mặt non-ionic, Nồng độ sử dụng 0,5%, pH = 6,6 - 7,6, Thời gian tiếp xúc: từ 5 phút, Diệt virus (HIV-1, HBV, HCV, HSV, Vacinia) theo tiêu chuẩn, châu Âu EN 17111, Đạt tiêu chuẩn ISO 15883, , Xuất xứ G7</t>
  </si>
  <si>
    <t>IB2500271697</t>
  </si>
  <si>
    <t>IB2500255370</t>
  </si>
  <si>
    <t>Thành phần tối thiểu: Orthophthaladehyde 0.55%: Thời gian ngâm khoảng: 5 phút. Dung tích: 5 Lít/Can
(Sản phẩm kèm que thử tồn dư hóa chất)</t>
  </si>
  <si>
    <t>Thành phần 6,5% Didecyldimethyl ammonium chloride, 0,074% Chlorhexidine digluconate, chất hoạt động bề mặt non-ionic. Làm sạch và khử khuẩn dụng cụ y tế. Thời gian tiếp xúc: từ 5 phút</t>
  </si>
  <si>
    <t>Thành phần gồm: 0,053% Didecyldimethyl ammonium chloride +  0,064 % Chlorhexidine digluconate kết hợp 22,6% Ethanol. Khử khuẩn nhanh các bề mặt. Dung tích: 1 Lít/Chai</t>
  </si>
  <si>
    <t>IB2500128159</t>
  </si>
  <si>
    <t xml:space="preserve">KSNK </t>
  </si>
  <si>
    <t>IB2500207882</t>
  </si>
  <si>
    <t>1. Hỗn hợp 5 enzyme 1%-3% protease, 0.1%-0.5% lipase, 0.1%-0.5% amylase, 0.1%-0.5% mannanase, 0.1%-0.5% cellulase
2. Dùng được cho máy rửa tự động và ngâm rửa thủ công, làm sạch dụng cụ, thiết bị y tế trước khi tiệt trùng hoặc khử khuẩn mức độ cao
Nồng độ sử dụng: từ 0.1% (máy rửa)
pH = 6.89-7.29
Thời gian: từ 5 phút
Phù hợp với mọi chất lượng nước khác nhau
4. Hiệu quả chống lại màng biofilm vi khuẩn Pseudomonas aeruginosa theo tiêu chuẩn ISO/TS 15883-5
Xuất xứ: Pháp
Đạt tiêu chuẩn ISO 13485</t>
  </si>
  <si>
    <t>Empower Fragrance Free</t>
  </si>
  <si>
    <t>Dung dịch tẩy rửa đa Enzyme được sử dụng để làm sạch trước các dụng cụ, thiết bị y tế trước khi tiệt trùng hoặc khử khuẩn mức độ cao.
- Thành phần: Dung dịch rửa dụng cụ y tế hoạt tính enzyme có chứa ≥ 04 loại enzyme và chất hoạt động bề mặt, trong đó có 02 enzyme protease giúp phá vỡ và loại bỏ máu, mô, chất nhầy và dịch cơ thể giàu protein khác khỏi dụng cụ.
Enzyme protease 1 (Liquanase Everis 900L)  1-5%,
Enzyme protease 2 (Savinase Everis 900L)  &lt;1%
Emzyme amylase (Amplify Prime 100L) &lt; 1%,
Enzyme lipase (Lipex Evity 200L) &lt;1%
Propylene Glycol: 1-5%
- Công thức ít tạo bọt sử dụng được trên máy tự động, hệ thống làm sạch dụng cụ nha khoa.
-  pH: 7.5-8.5
- Thời gian ngâm thủ công ≥ 01 phút.
- Có thể sử dụng với nhiệt độ nước lên đến 55℃
- Có thể sử dụng được trên máy rửa tự động, bể rửa siêu âm
- Đạt tiêu chuẩn ISO, FDA hoặc tương đương
- Đóng gói: Can 3,8 lít
- Xuất xứ: Mỹ</t>
  </si>
  <si>
    <t>1. Thành phần: 0,55% Ortho- Phthalaldehyde,
2. Tái sử dụng trong 14 ngày (tặng kèm test thử để kiểm tra nồng độ OPA).
pH=7, dung dịch sẵn sàng sử dụng (không pha loãng).
3. Hiệu quả diệt khuẩn:
- Diệt các loại virus (Adenovirus, Norovirus MNV, Vacciniavirus,...), vi khuẩn lao, nấm,...
- Diệt khuẩn EN 14561 (Pseudomonas aeruginosa, Staphylococcus aureus, Enterococcus hirae...)
- Diệt nấm EN 14562 (Candida albicans, Aspergillus niger...)
- Diệt vi khuẩn lao EN 14563 (Mycobacterium terrae, Mycobacterium avium...)
- Diệt bào tử trong 30 phút theo EN 17126 (Clostridium difficile, Bacillus subtilis, Bacillus cereus)
- Diệt virus EN 17111 (Adenovirus...)
4. Có tài liệu chứng minh tương thích với ống nội soi hãng Olympus, Fujifilm,Pentax
6. Đạt tiêu chuẩn CE, ISO 13485, ISO 9001
Xuất xứ: Pháp</t>
  </si>
  <si>
    <t>Metricide Opa Plus</t>
  </si>
  <si>
    <t>- Thành phần: Ortho-phthalaldehyde 0,60%, có thể tái xử lý thủ công lên đến 30 ngày.
- Hiệu quả diệt khuẩn, diệt nấm, diệt virus, diệt trực khuẩn lao Lao là 05 phút.
- Hoạt tính diệt  khuẩn  trên vi sinh vật: Staphylococcus aureus, Salmonella choleraesuis, Pseudomonas aeruginosa, Mycobacterium bovis, Trichophyton mentagrophytes, Poliovirus Type 1, Rhinovirus Type 42, Hepatitis A (AER), HIV-1...
- pH = 7.0-7.8
- Không gây ăn mòn dụng cụ, không gây ảnh hưởng tới dụng cụ nội soi, không chứa chất làm mờ thấu kính của ống soi
- Đạt tiêu chuẩn ISO 13485, FDA
- Đóng gói: Can 3,8 lít
- Xuất xứ: Mỹ</t>
  </si>
  <si>
    <t>Cavicide1</t>
  </si>
  <si>
    <t>Là dung dịch khử khuẩn bề mặt có cồn nồng độ thấp,
- Thành phần: Didecyldimethylammonium chloride: 0.76%. Ethanol 7.5%.  Isopropanol 15%
- Dung dịch khử khuẩn và làm sạch bề mặt trong phòng thí nghiệm, trong ICU; màn hình OLED, đầu dò siêu âm,...
- Hiệu quả  ≤ 01 phút tiêu diệt được ≥  25 vi sinh vật gây bệnh trong môi trường lâm sàng, trong đó có: Nấm Candida Auris, Trực khuẩn mủ xanh, Vi khuẩn lao, tụ cầu vàng, trực khuẩn mủ xanh, vi khuẩn đa kháng thuốc Acinetobacter Baumannii, virus ( HIV, HBV, HCV, HSV, Human Coronavirus…).
- Đóng gói Chai  710 ml
- Đạt tiêu chuẩn FDA
- Xuất xứ: Mỹ</t>
  </si>
  <si>
    <t>1. Thành phần: 0.3% Didecyldimethyl ammonium chloride, chất HĐBM, không chứa cồn
2. Mục đích sử dụng: Làm sạch và khử khuẩn bề mặt trang thiết bị y tế
Tương thích với Polycarbonate, plexiglas.
Đầu phun tạo bọt.
Thời gian tiếp xúc: từ 2 phút
3. Hiệu quả diệt khuẩn theo EN 16615 (Enterococcus hirae, Pseudomonas aeruginosa, Staphylococcus aureus)
Diệt virus theo tiêu chuẩn EN 14476 (Adenovirus, Norovirus Murine MNV)
4. Đạt tiêu chuẩn CE, ISO 13485, ISO 9001
Quy cách: Chai 750ml</t>
  </si>
  <si>
    <t>BORER</t>
  </si>
  <si>
    <t>deconex® TWIN ZYME xpert</t>
  </si>
  <si>
    <t>Theo thông tin chi tiết tại Bảng danh mục hàng hóa dự thầu</t>
  </si>
  <si>
    <t>IB2500263280</t>
  </si>
  <si>
    <t>CIDEX OPA</t>
  </si>
  <si>
    <t>- Dung dịch khử khuẩn mức độ cao,  thành phần ORTHO-PHTHALADEHYDE 0,55%, Benzotriazole 0,01% và các thành phần khác; PH 7.2 - 7.8
- Thời gian ngâm khử khuẩn mức độ cao cho dụng cụ là 5 phút, tái sử dụng trong vòng 14 ngày. Thời gian bảo quản dung dịch trong can là 75 ngày tính từ khi mở nắp.
- Không gây ăn mòn dụng cụ, tương thích với nhiều loại dụng cụ và vật liệu (kể cả Polystyrene, Cyanoacrylate).
Tương thích với dụng cụ của các hãng sản xuất dụng cụ nội soi (Olympus, Pentax, Karl Storz,...)
- Diệt được hầu hết các loại vi khuẩn, vi rút, Trực khuẩn lao (Mycobacterium bovis) theo các tiêu chuẩn: EN 13727, EN 14561, EN 13624, EN 14562, EN 14348, EN 14563, EN 14476
- Môi trường sử dụng không cần thông khí đặc biệt. Có thể dùng cho quy trình xử lý bằng tay và bằng máy.
- Cam kết cung cấp test thử đi kèm đảm bảo quy trình test hàng ngày
- Đạt các tiêu chuẩn: EC, ISO, CFS Đức, Thụy Sỹ</t>
  </si>
  <si>
    <t>Dung dịch ngâm tẩy rửa dụng cụ hoạt tính enzyme:
- Thành phần: protease subtilisin 0,5%,  chất hoạt động bề mặt lưỡng tính, chất ổn định chống ăn mòn và các thành phần khác, hiệu quả nhanh sau 1 phút.
- PH trung tính: 7.8-8.8, không gây ăn mòn dụng cụ
- Ít bọt, hương bạc hà dễ chịu, át được mùi của dụng cụ bẩn,  không gây kích ứng.
- Tương thích với nhiều loại dụng cụ, vật liệu phi kim loại (Silicone, cao su, PTFE, Polyurethane) và kim loại (thép không gỉ, nhôm)
- Đạt các tiêu chuẩn: EC</t>
  </si>
  <si>
    <t>Tham chiếu tại "Bảng danh mục hàng hóa dự thầu"</t>
  </si>
  <si>
    <t>IB2500370002</t>
  </si>
  <si>
    <t>IB2500234416</t>
  </si>
  <si>
    <t>Bệnh viện Phụ Sản Hà Nội</t>
  </si>
  <si>
    <t>IB2500356023</t>
  </si>
  <si>
    <t>Chi tiết như Bảng danh mục hàng hóa dự thầu và Bảng chào đáp ứng kỹ thuật đính kèm E-HSDT</t>
  </si>
  <si>
    <t>Bbraun</t>
  </si>
  <si>
    <t>Meliseptol® rapid</t>
  </si>
  <si>
    <t>IB2500368929</t>
  </si>
  <si>
    <t>Theo quy định tại Chương V.</t>
  </si>
  <si>
    <t>Caviwipes 1</t>
  </si>
  <si>
    <t>IB2500403792</t>
  </si>
  <si>
    <t>BỆNH VIỆN PHỤ SẢN TRUNG ƯƠNG</t>
  </si>
  <si>
    <t>Stabimed Fresh</t>
  </si>
  <si>
    <t>Dung dịch khử khuẩn và làm sạch dụng cụ y tế
- Thành phần: chứa Cocopropylene Diamine nồng độ ~20% kl/kl;
- Nhiệt độ bảo quản: Nhiệt độ thường.
- Sản xuất đạt tiêu chuẩn chất lượng ISO 13485 đạt tiêu chuẩn CE</t>
  </si>
  <si>
    <t>IB2500129858</t>
  </si>
  <si>
    <t xml:space="preserve">Aniosyme X3 </t>
  </si>
  <si>
    <t>Thành phần: Quaternary ammonium propionate + Chlorhexidine digluconate + Hỗn hợp 3 enzym: Protease, lipase và amylase.</t>
  </si>
  <si>
    <t>IB2500324246</t>
  </si>
  <si>
    <t>1. Thành phần: 14% N,N-Didecyl-N-Methylpoly(oxyethyl)ammonium propionate + 0,3% Chlorhexidine digluconate, hỗn hợp 3 enzym: 0.5%-2%
Protease, 0.1%-0.5% Lipase, 0.1%-0.5% Amylase, chất
hoạt động bề mặt
2. Làm sạch và khử nhiễm.
Thời gian tiếp xúc: từ 5 phút
Nồng độ sử dụng 0.5% (25ml dung dịch trong 5 lít
nước)
3. Đạt tiêu chuẩn: ISO 15883 (chống lại màng Biofilm)
4. Hiệu quả diệt khuẩn: Diệt khuẩn EN 14561 (Staphylococcus aureus,
Pseudomonas aeruginosa, Enterococcus hirae...)
Diệt virus EN 14476 (HIV-1, HBV, HCV,HSV 1...)
Diệt virus có vỏ bọc theo tiêu chuẩn EN 17111
(Vaccinia virus...)</t>
  </si>
  <si>
    <t>1. Hồn hợp 5 enzyme 1%-3% protease, 0.1%-0.5% lipase, 0.1%-0.5% amylase, 0.1%-0.5% mannanase, 0.1%-0.5% cellulase.2. Dùng được cho máy rửa tự động
và ngâm rửa thủ côngNỗng độ sử dụng: từ 0.1% (máy rửa)pH = 6.89-7.29Thời gian: từ 5 phút
Phù hợp với mọi chất lượng nước khác nhau3. Đạt tiêu chuẩn ISO 11930 (Khả năng kháng khuẩn của sản phẩm)4. Hiệu quả
chống lại màng biofilm vi khuẩn Pseudomonas aeruginosa theo tiêu chuẩn ISO/TS 15883-5.</t>
  </si>
  <si>
    <t>1. Thành phần: 2% Glutaraldehyde
2. không cần hoạt hóa, pH=6
Khử khuẩn mức độ cao: 10 phút.
Tái sử dụng trong 30 ngày (tặng kèm test thử)
3. Hạn sử dụng sau mở nắp: 3 năm
4. Hiệu quả diệt khuẩn: - Diệt khuẩn EN 14561 (Enterococcus hirae,
Pseudomonas aeruginosa, Staphylococcus aureus...) - Diệt nấm EN 14562 (Candida albicans, Aspergillus
niger...) - Diệt vi khuẩn lao EN 14563 (Mycobacterium terrae,
Mycobacterium avium...) - Diệt bào tử trong 120 phút theo EN 17126
(Clostridium difficile, Bacillus cereus, Bacillus subtilis) - Diệt virus EN 17111 (Adenovirus...)</t>
  </si>
  <si>
    <t>1.Thành  phần:  0,55%  Ortho-Phthalaldehyde,
2. pH=7, dung dịch sẵn sàng
 sử dụng (không pha loãng).
Khử khuẩn mức độ cao trong 5 phút.
Tái sử dụng trong 14 ngày (tặng kèm test thử để kiểm tra
nồng độ OPA).
3. Hiệu quả diệt khuẩn: - Diệt khuẩn EN 14561 (Pseudomonas aeruginosa,
Staphylococcus aureus, Enterococcus hirae...) - Diệt nấm EN 14562 (Candida albicans, Aspergillus
niger...) - Diệt vi khuẩn lao EN 14563 (Mycobacterium terrae,
Mycobacterium avium...) - Diệt bảo tử trong 30 phút theo EN 17126 (Clostridium
difficile, Bacillus subtilis, Bacillus cereus) - Diệt virus EN 17111 (Adenovirus...)
4. Thời gian bảo quản dung dịch trong can sau khi mở
nắp trên 3 tháng.
5. Có tài liệu chứng minh tương thích với ống nôi soi
hãng Olympus/Fujifilm/Pentax/Karl Stozr</t>
  </si>
  <si>
    <t>1. Thành phần: 0.3% Didecyldimethyl ammonium
chloride, chất HĐBM, không chứa cồn
2. Làm sạch và khử khuẩn bề mặt trang thiết bị y tế.
Tương thích với Polycarbonate, plexiglas.
Đầu phun tạo bọt.
Thời gian tiếp xúc: từ 2 phút
3. Hiệu quả diệt khuẩn theo EN 16615 (Enterococcus
hirae, Pseudomonas aeruginosa, Staphylococcus aureus)
Diệt virus theo tiêu chuẩn EN 14476 (Adenovirus,
Norovirus Murine MNV)</t>
  </si>
  <si>
    <t>IB2500160742</t>
  </si>
  <si>
    <t>Nước sát trùng bề mặt
Thành phần: 6,5% Didecyldimethyl ammonium chloride + 0,074% Chlorhexidine digluconate, chất hoạt động bề mặt non-ionic.
Làm sạch và khử khuẩn dụng cụ y tế.
Nồng độ sử dụng 0,5%, pH = 6.6 - 7.6
Thời gian tiếp xúc: từ 5 phút
Diệt virus HIV-1, HBV, HCV, HSV, Vacinia theo tiêu chuẩn châu Âu EN 17111
Đạt tiêu chuẩn ISO 15883, diệt khuẩn EN 14561, EN 14562, EN 14563, EN 17111
5L/can</t>
  </si>
  <si>
    <t>IB2500365134</t>
  </si>
  <si>
    <t>Vũ Hải Dương</t>
  </si>
  <si>
    <t>IB2500166074</t>
  </si>
  <si>
    <t>Xin xem Bảng đáp ứng kỹ thuật</t>
  </si>
  <si>
    <t>IB2500157406</t>
  </si>
  <si>
    <t>ANIOSPRAY SURF 29</t>
  </si>
  <si>
    <t>1. Thành phần: 0,05% Didecyldimethyl ammonium chloride + 0,06% Chlorhexidine digluconate kết hợp 22,57% Ethanol, không chứa Aldehyde
2. Khử khuẩn nhanh các bề mặt, thiết bị y tế, dụng cụ y tế không xâm lấn và không thể khử khuẩn bằng cách ngâm đã được làm sạch giường bệnh, băng ca, xe đẩu bệnh nhân, xe cấp cứu, máy đo huyết áp, máy thử đường huyết, ống nghe...)
Dung dịch trong suốt không màu
Quy cách: chai 1 lít
3. Hiệu quả diệt khuẩn (MRSA, ESBL..) theo EN 13727
Diệt virus (PRV, BVDV, HSV 1, H1N1, Rotavirus...) từ 1 phút theo EN 14476
Diệt vi khuần lao (Mycobacter tuberculosis)
4. Tương thích với các chất liệu bề mặt và thiết bị
5. Đạt tiêu chuẩn CE, ISO 13485, ISO 9001</t>
  </si>
  <si>
    <t>IB2500317554</t>
  </si>
  <si>
    <t>IB2500348028</t>
  </si>
  <si>
    <t>2% Glutaraldehyde, pH=6 khử khuẩn mức độ cao dụng cụ nội soi và các dụng cụ không chịu nhiệt. Dung dịch pha sẵn không pha bất kỳ dung dịch nào vào Steranios 2%. pH = 6. Diệt khuẩn theo tiêu chuẩn EN 14561, diệt nấm theo tiêu chuẩn EN 14562, diệt virus theo tiêu chuẩn EN 14476  và diệt Mycobacteria theo tiêu chuẩn EN 14563 trong 10 phút. Bảo quản tối đa trong chậu ngâm kín: 30 ngày</t>
  </si>
  <si>
    <t>Hỗn hợp 5 enzyme: Protease, Lipase, Amylase, Mannanase, Cellulase + chất hoạt động bề mặt tẩy rửa dụng cụ y tế với 5 enzyme. Phù hợp với máy rửa dụng cụ.Ngăn hình thành màng biofilm, hiệu quả tẩy rửa được chứng minh qua các test ATPmetry, EN 15883. Ngăn ngừa sự nhiễm khuẩn theo tiêu chuẩn NF EN ISO 11930. Nồng độ sử dụng: 0,1-0,5%.</t>
  </si>
  <si>
    <t>IB2500397397</t>
  </si>
  <si>
    <t>IB2500441757</t>
  </si>
  <si>
    <t>Diệt khuẩn hiểu quả: 1 phút đối với Virus, vi khuẩn và nấm.</t>
  </si>
  <si>
    <t>Khử khuẩn nhanh các bề mặt, trang thiết bị trong phòng mổ, khu vực có nguy cơ lây nhiễm cao, phòng thay băng, chăm sóc bệnh nhân.
Khử khuẩn nhanh các vật dụng trung gian gây nhiễm khuẩn: giường bệnh, băng ca, xe đẩy bệnh nhân, xe cấp cứu…</t>
  </si>
  <si>
    <t>IB2500428503</t>
  </si>
  <si>
    <t>T- Thành phần: Ethanol 22,6%; Chlorhexidine digluconate 0,053%;
Didecyldimethyl ammonium chloride 0,064%
- Khử khuẩn nhanh các bè mặt, thiết bị y tế, dụng cụ y tế không xâm lấn và không thể khử khuẩn bằng cách ngâm đã được làm sạch giường bệnh, băng ca, xe đẩu bệnh nhân, xe cấp cứu, máy đo huyết áp, máy thử đường huyết, ống nghe....
- Hiệu quả diệt: Vi khuẩn, nấm, nấm men, Virus theo EN 13697
- Đạt hiệu quả diệt khuẩn:
+ Vi khuẩn theo EN 13697: 5 phút
+ Nấm theo EN 13697: 5 phút
+ Nấm men theo EN 13697: 30 phút
+ Diệt Virus: 1 phút
- Đạt tiêu chuẩn ISO 13485</t>
  </si>
  <si>
    <t>T- Thành phần: dung dịch Glutaraldehyde 2% với đệm pH=6, chất hoạt động bề mặt, chất tạo màu và tá dược
- Bảo quản tối đa trong chậu ngâm kín: 30 ngày
- Hiệu quả diệt vi khuẩn, nấm men, nấm mốc, virus, mycobacteria trong 10 phút
- Hiệu quả:
+ Diệt khuẩn theo EN 13727/ EN 14561: 5 phút
+ Diệt nấm men theo EN 13624/ EN 14562: 5 phút
+ Diệt nấm mốc theo EN 13624/ EN 14562: 10 phút
+ Diệt vi khuẩn lao theo EN 14348/ EN 14563: 10 phút
+ Diệt Virus theo EN 14476/ EN 17111
- Đạt tiêu chuẩn ISO 13485</t>
  </si>
  <si>
    <t>- Với sự kết hợp 5 enzyme: protease 1%-3%; amylase 0,1%-0,5%; lipase 0,1%-0,5%; cellulase 0,1%-0,5%; mannanase 0,1%-0,5%
- Mang lại hiệu quả làm sạch xuất sắc khi ngâm thủ công và sử dụng cho máy rửa dụng cụ tự động
- Hiệu quả sau 5 phút với máy rửa dụng cụ và hiệu quả với mọi loại nước
- Khoảng pH= 6,89-7,29 (dung dịch pha loãng từ 0,1% đến 0,5%) ở 20°C
- Đạt tiêu chuẩn ISO 13485</t>
  </si>
  <si>
    <t>IB2500353276</t>
  </si>
  <si>
    <t>Theo bảng danh mục hàng hóa dự thầu</t>
  </si>
  <si>
    <t>IB2500303280</t>
  </si>
  <si>
    <t>IB2500512700</t>
  </si>
  <si>
    <t xml:space="preserve">Đặc trưng kỹ thuật:
Chất tẩy rửa và khử khuẩn với mục đích ngăn hình thành màng sinh học (biofilm) trên dụng cụ y tế theo tiêu chuẩn ISO/TS 15883-5:2005 .
Phổ diệt khuẩn rộng hạn chế nguy cơ nhiễm khuẩn chéo và đảm bảo an toàn cho người sử dụng.
Hiệu quả diệt khuẩn đã được chứng minh bao gồm MRB và HRB.
Dễ xả sạch.
Có thể sử dụng với bồn rửa siêu âm.
Dung dịch trong suốt màu xanh.
pH chưa pha loãng: 7
pH ở 5% trong nước cứng: 7.4
pH ở 5% trong nước mềm: 8.3
Thành phần:
Didecyldimethylammonium chloride, chlorhexidine digluconate, chất hoạt động bề mặt không ion, chất tạo màu, mùi, các thành phần khác.
Chai/1Lít </t>
  </si>
  <si>
    <t>IB2500448959</t>
  </si>
  <si>
    <t>1. Thành phần: 6,5% Didecyldimethyl ammonium chloride + 0,074% Chlorhexidine digluconate, chất hoạt động bề mặt non-ionic.
2. Làm sạch và khử khuẩn dụng cụ y tế, dụng cụ không chịu nhiệt và dụng cụ nội soi.
Nồng độ sử dụng: 0.5% (25ml trong 5 lít nước)
pH = 6.6 - 7.6
Quy cách: Can 5 lít
3. Hiệu quả diệt khuẩn
- Diệt khuẩn theo tiêu chuẩn EN 14561
- Diệt nấm theo tiêu chuẩn EN 14562
- Diệt vi khuẩn lao theo tiêu chuẩn EN 14563
- Diệt virus HIV-1, HBV, HCV, HSV theo tiêu chuẩn EN 14476
- Diệt Vacinia virus EN 17111
4. Đạt tiêu chuẩn: ISO 15883 (chống lại màng Biofilm)
5. Đạt tiêu chuẩn CE, ISO 13485, ISO 9001
6. Xuất xứ G7</t>
  </si>
  <si>
    <t>IB2500404314</t>
  </si>
  <si>
    <t>Thành phần ORTHO-PHTHALADEHYDE 0,55%, Benzotriazole 0,01% và các thành phần khác, pH 7.2 - 7.8,
Thời gian ngâm khử khuẩn mức độ cao cho dụng cụ là 5 phút, tái sử dụng trong vòng 14 ngày.
Diệt được hầu hết các loại vi khuẩn, vi rút, nấm, Trực khuẩn lao (Mycobacterium bovis)
Kèm test thử để kiểm tra nồng độ
Đạt các tiêu chuẩn: EC, CFS
Can 3,78 lít</t>
  </si>
  <si>
    <t>PL2500268703</t>
  </si>
  <si>
    <t>PL2500296580</t>
  </si>
  <si>
    <t>Dung dịch làm sạch và khử khuẩn bề mặt trang thiết bị y tế.
- Thành phần: Didecyldimethyl ammonium chloride. Không chứa cồn
- Đáp ứng tiêu chuẩn EN 16615 hoặc tương đương.
- Tiêu chuẩn ISO 13485 hoặc tương đương.
- Quy cách: Chai ≤ 1 lít, có đầu phun tạo bọt</t>
  </si>
  <si>
    <t>PL2500272549</t>
  </si>
  <si>
    <t>Thành phần tối thiểu ORTHO-PHTHALADEHYDE 0,55%, Benzotriazole 0,01% và các thành phần khác, pH 7.2 - 7.8.
- Thời gian ngâm khử khuẩn mức độ cao cho dụng cụ là 5 phút, tái sử dụng trong vòng 14 ngày.
- Không gây ăn mòn dụng cụ, tương thích với nhiều loại dụng cụ và vật liệu (kể cả Polystyrene, Cyanoacrylate, EPO - TEK 353 epoxy), có que thử.
- Tương thích với dụng cụ của các hãng sản xuất dụng cụ nội soi (Olympus, Pentax, GE, Karl Storz, đèn nội soi Fujinon)
- Diệt được hầu hết các loại vi khuẩn, vi rút, nấm, Trực khuẩn lao (Mycobacterium bovis)
- Môi trường sử dụng không cần thông khí đặc biệt. Có thể dùng cho quy trình xử lý bằng tay và bằng máy.</t>
  </si>
  <si>
    <t>Thành phần tối thiểu 2% Glutaraldehyde, pH=6 khử khuẩn mức độ cao dụng cụ nội soi và các dụng cụ không chịu nhiệt.</t>
  </si>
  <si>
    <t>ung dịch ngâm tẩy rửa dụng cụ y tế hoạt tính enzyme, thành phần: protease subtilisin 0,5%, hiệu quả nhanh sau 1 phút, ít bọt, pH trung tính: 7.8-8.8 ngăn không để lại tồn lưu, giúp dụng cụ được khử khuẩn hiệu quả, hương bạc hà dễ chịu, át được mùi của dụng cụ bẩn, không gây ăn mòn dụng cụ - Đi sâu và làm sạch các vị trí khó tiếp cận như các khe ống nội soi, đổng thời làm sạch hiệu quả các chất béo và mỡ. - Tương thích với nhiều loại dụng cụ vật liệu phi kim loại</t>
  </si>
  <si>
    <t>IB2500387259</t>
  </si>
  <si>
    <t>Là khăn lau khử khuẩn bề mặt có cồn nồng độ thấp.
- Thành phần: Didecyldimethylammonium chloride  ≤ 0.76%. Ethanol ≤ 7.5%.  Isopropanol ≤ 15%
- Hiệu quả  ≤ 01 phút tiêu diệt được ≥  25 vi sinh vật gây bệnh trong môi trường lâm sàng, trong đó có: Nấm Candida Auris, Trực khuẩn mủ xanh, Vi khuẩn lao;  Các vi khuẩn đa kháng thuốc như:  A. baumannii, Tụ cầu vàng (MRSA, MRSE, VISA), CRKP, ESBL, VRE.
- Có chứng nhận của Cơ quan, tổ chức từ các nước G7 về các công bố trên nhãn sản phẩm.
- Khăn kích thước (Dài xRộng) ≥ 15 x17cm làm bằng vải không dệt.
- Đóng gói Hộp  ≥ 160 khăn
- Đạt tiêu chuẩn FDA, IS0 13485
- Xuất xứ: Từ các nước G7</t>
  </si>
  <si>
    <t>IB2500581433</t>
  </si>
  <si>
    <t>IB2500512916</t>
  </si>
  <si>
    <t>1. Thành phần: 14% N,N-Didecyl-N-Methyl-poly(oxyethyl)ammonium propionate + 0,3% Chlorhexidine digluconate, hỗn hợp 3 enzym: 0.5%-2% Protease, 0.1%-0.5% Lipase, 0.1%-0.5% Amylase, chất hoạt động bề mặt
2. Hiệu quả:
- Diệt khuẩn theo tiêu chuẩn EN 13727, EN 14561
- Diệt virus theo tiêu chuẩn EN 14476 (HIV-1, HBV, HCV,HSV 1...)
- Diệt virus có vỏ bọc theo tiêu chuẩn EN 17111 (Vaccinia virus...)
3. Đạt tiêu chuẩn: CE, ISO 13485, ISO 9001, ISO 15883 (chống lại màng Biofilm )
4. Xuất xứ G7</t>
  </si>
  <si>
    <t>MSTT18062025</t>
  </si>
  <si>
    <t>1. Thành phần: 6,5% Didecyldimethyl ammonium chloride + 0,074% Chlorhexidine digluconate, chất hoạt động bề mặt non-ionic. 2. Làm sạch và khử khuẩn dụng cụ y tế. Nồng độ sử dụng 0.5% (25ml trong 5 lít nước) pH = 6.6 - 7.6 Thời gian tiếp xúc: từ 5 phút 3. Hiệu quả diệt khuẩn - Diệt khuẩn EN 14561 (Pseudomonas aeruginosa, Staphylococcus aureus, Enterococcus hirae...) - Diệt nấm EN 14562 (Candida albicans, Aspergillus niger...) - Diệt vi khuẩn lao EN 14563 (Mycobacterium terrae...) - Diệt virus HIV-1, HBV, HCV, HSV, - Diệt Vacinia EN 17111 4. Đạt tiêu chuẩn: ISO 15883 (chống lại màng Biofilm) 5. Đạt tiêu chuẩn CE, ISO 13485, ISO 9001</t>
  </si>
  <si>
    <t>1. Thành phần: 14% N,N-Didecyl-N-Methyl-poly(oxyethyl)ammonium propionate + 0,3% Chlorhexidine digluconate, hỗn hợp 3 enzym: 0.5%-2% Protease, 0.1%-0.5% Lipase, 0.1%-0.5% Amylase, chất hoạt động bề mặt 2. Làm sạch và khử nhiễm. Thời gian tiếp xúc: từ 5 phút Nồng độ sử dụng 0.5% (25ml dung dịch trong 5 lít nước) 3. Đạt tiêu chuẩn: ISO 15883 (chống lại màng Biofilm ) 4. Hiệu quả diệt khuẩn: Diệt khuẩn EN 14561 (Staphylococcus aureus, Pseudomonas aeruginosa, Enterococcus hirae...) Diệt virus EN 14476 (HIV-1, HBV, HCV,HSV 1...) Diệt virus có vỏ bọc theo tiêu chuẩn EN 17111 (Vaccinia virus...) 5. Đạt tiêu chuẩn CE, ISO 13485, ISO 9001</t>
  </si>
  <si>
    <t>Dung dịch khử khuẩn mức độ cao,
thành phần ORTHO-PHTHALADEHYDE 0,55%, Benzotriazole 0,01% và các thành phần khác, pH 7.2 - 7.8,
- Thời gian ngâm khử khuẩn mức độ cao cho dụng cụ là 5 phút, tái sử dụng trong vòng 14 ngày. Thời gian bảo quản dung dịch trong can là 75 ngày tính từ khi mở nắp.
- Không gây ăn mòn dụng cụ, tương thích với nhiều loại dụng cụ và vật liệu (kể cả Polystyrene, Cyanoacrylate, EPO - TEK 353 epoxy), có que thử.
- Tương thích với dụng cụ của các hãng sản xuất dụng cụ nội soi (Olympus, Pentax, GE, Karl Storz, đèn nội soi Fujinon)
- Diệt được hầu hết các loại vi khuẩn, vi rút, nấm, Trực khuẩn lao (Mycobacterium bovis), theo các tiêu chuẩn: EN 13727, EN 13624, EN 14348, EN 14563, EN 14476
- Môi trường sử dụng không cần thông khí đặc biệt. Có thể dùng cho quy trình xử lý bằng tay và bằng máy.
- Đạt các tiêu chuẩn: EC, ISO 13485, CFS</t>
  </si>
  <si>
    <t>-Dung dịch ngâm tẩy rửa dụng cụ y tế hoạt tính enzyme, thành phần: protease subtilisin 0,5%, hiệu quả nhanh sau 1 phút. - ít bọt,  pH trung tính: 7.8-8.8 ngăn không để lại tồn lưu, giúp dụng cụ được khử khuẩn hiệu quả, hương bạc hà dễ chịu, át được mùi của dụng cụ bẩn, không gây ăn mòn dụng cụ - Đi sâu và làm sạch  các vị trí khó tiếp cận như các khe ống nội soi, đổng thời làm sạch hiệu quả các chất béo và mỡ.- Tương thích với nhiều loại dụng cụ vật liệu phi kim loại như silicone, E® Cao su EPDM, PTFE, polyurethane, cao su viton và các vật liệu kim loại như thép không gỉ E® thép 304-2B, thép không gỉ 410, thép không gỉ 420 và nhôm anodized.- Đạt các tiêu chuẩn : EC, ISO, CFS</t>
  </si>
  <si>
    <t>MSTT14052025</t>
  </si>
  <si>
    <t>1. Thành phần: ≥ 6,5% Didecyldimethyl ammonium chloride + ≥ 0,074% Chlorhexidine digluconate, chất hoạt động bề mặt non-ionic. 2. Làm sạch và khử khuẩn dụng cụ y tế. Nồng độ sử dụng ≤ 0.5% (25ml trong 5 lít nước) pH = 6.6 - 7.6 Thời gian tiếp xúc: từ 5 phút 3. Hiệu quả diệt khuẩn - Diệt khuẩn EN 14561 (Pseudomonas aeruginosa, Staphylococcus aureus, Enterococcus hirae...) - Diệt nấm EN 14562 (Candida albicans, Aspergillus niger...) - Diệt vi khuẩn lao EN 14563 (Mycobacterium terrae...) - Diệt virus HIV-1, HBV, HCV, HSV, - Diệt Vacinia EN 17111 4. Đạt tiêu chuẩn: ISO 15883 (chống lại màng Biofilm) 5. Đạt tiêu chuẩn ISO và CE</t>
  </si>
  <si>
    <t>1. Thành phần: 2% Glutaraldehyde 2. không cần hoạt hóa, pH=6 Khử khuẩn mức độ cao: 10 phút. Tái sử dụng trong 30 ngày (tặng kèm test thử) 3. Hạn sử dụng sau mở nắp: 3 năm 4. Hiệu quả diệt khuẩn: - Diệt khuẩn EN 14561 (Enterococcus hirae, Pseudomonas aeruginosa, Staphylococcus aureus...) - Diệt nấm EN 14562 (Candida albicans, Aspergillus niger...) - Diệt vi khuẩn lao EN 14563 (Mycobacterium terrae, Mycobacterium avium...) - Diệt bào tử trong 120 phút theo EN 17126 (Clostridium difficile, Bacillus cereus, Bacillus subtilis) - Diệt virus EN 17111 (Adenovirus...) Bào tử : NF T 72 -231 T 72- 301 -60 phút 5. Đạt tiêu chuẩn ISO và CE</t>
  </si>
  <si>
    <t>Aniospray surf 29</t>
  </si>
  <si>
    <t>1. Thành phần: ≥ 0,053% Didecyldimethyl ammonium chloride + ≥ 0,064 % Chlorhexidine digluconate kết hợp ≤ 22,6% Ethanol. 2. Khử khuẩn nhanh các bề mặt 3. Hiệu quả diệt khuẩn, diệt nấm theo EN 13697 Diệt virus (PRV, BVDV, HSV 1...) từ 1 phút 4. Đạt tiêu chuẩn ISO và CE</t>
  </si>
  <si>
    <t>IB2500410075</t>
  </si>
  <si>
    <t>1. Thành phần: 0,05% Didecyldimethyl ammonium chloride + 0,06% Chlorhexidine digluconate kết hợp 22,57% Ethanol
2. Khử khuẩn nhanh các bề mặt. Thời gian tiếp xúc 5 phút
Chai 1 lít
3. Hiệu quả diệt khuẩn, diệt nấm theo EN 13697 (SARM, BLSE)
Diệt virus (PRV, BVDV, HSV 1...) từ 1 phút
4. Tương thích với hầu hết chất liệu bề mặt và thiết bị
5. Đạt tiêu chuẩn CE, ISO 13485, ISO 9001</t>
  </si>
  <si>
    <t>1. Thành phần: 14% N,N-Didecyl-N-Methyl-poly(oxyethyl)ammonium propionate + 0,3% Chlorhexidine digluconate, hỗn hợp 3 enzym: 0.5%-2% Protease, 0.1%-0.5% Lipase, 0.1%-0.5% Amylase, chất hoạt động bề mặt
2. Làm sạch và khử nhiễm.
Thời gian tiếp xúc: 5 phút
Nồng độ sử dụng: 0.5% (25ml dung dịch trong 5 lít nước)
pH xấp xỉ 7.5, tương thích với các dụng cụ kim loại
3. Hiệu quả diệt khuẩn:
Diệt khuẩn theo tiêu chuẩn EN 13727, EN 14561
Diệt virus theo tiêu chuẩn EN 14476 (HIV-1, HBV, HCV,HSV 1...)
Diệt virus có vỏ bọc theo tiêu chuẩn EN 17111 (Vaccinia virus...)
4. Đạt tiêu chuẩn CE, ISO 13485, ISO 9001</t>
  </si>
  <si>
    <t>IB2400582956</t>
  </si>
  <si>
    <t>1. Khăn tẩm dung dịch Didecyldimethyl ammonium chloride 0.3%, không chứa cồn
2. Làm sạch &amp; khử khuẩn bề mặt, lau sơ bộ ống nội soi trước khi ngâm làm sạch và khử khuẩn
Phân hủy vi sinh 100%
3. Đạt tiêu chuẩn CE, ISO 13485, ISO 9001</t>
  </si>
  <si>
    <t>IB2500471764</t>
  </si>
  <si>
    <t>1. Thành phần: 2% Glutaraldehyde 2. không cần hoạt hóa, pH=6 Khử khuẩn mức độ cao: 10 phút. Tái sử dụng trong 30 ngày (tặng kèm test thử) Quy cách: Can 5L 3. Hiệu quả diệt khuẩn: - Diệt khuẩn EN 14561 - Diệt nấm EN 14562 - Diệt vi khuẩn lao EN 14563- Diệt virus EN 17111 trong 10 phút 4. Đạt tiêu chuẩn chất lượng CE, ISO 13485, ISO 900</t>
  </si>
  <si>
    <t>1. Thành phần: 14% N,N-Didecyl-N- Methyl-poly(oxyethyl)ammonium propionate + 0,3% Chlorhexidine digluconate, hỗn hợp 3 enzym: Protease, Lipase, Amylase, chất hoạt động bề mặt 2. Làm sạch và khử nhiễm. Thời gian tiếp xúc: 5 phút Quy cách: Chai 1L 3. Đạt tiêu chuẩn: ISO 15883 (chống lại màng Biofilm) - Diệt khuẩn theo tiêu chuẩn EN 14561 Diệt virus theo tiêu chuẩn EN 14476 (HIV-1, HBV, HCV,HSV 1...) Diệt virus có vỏ bọc theo tiêu chuẩn EN 17111 (Vaccinia virus...) 4. Đạt tiêu chuẩn CE, ISO 13485, ISO 9001</t>
  </si>
  <si>
    <t>IB2400440860</t>
  </si>
  <si>
    <t>OPASTER'ANIOS</t>
  </si>
  <si>
    <t>1. Thành phần: 0,55% Ortho- Phthalaldehyde, 2. pH=7, dung dịch sẵn sàng sử dụng (không cần hoạt hóa). Khử khuẩn mức độ cao trong 5 phút tặng kèm test thử để kiểm tra nồng độ OPA 3. Hiệu quả diệt khuẩn: - Diệt khuẩn EN 14561 (Pseudomonas aeruginosa, Staphylococcus aureus, Enterococcus hirae...) - Diệt nấm EN 14562 (Candida albicans, Aspergillus niger...) - Diệt vi khuẩn lao EN 14563 (Mycobacterium terrae, Mycobacterium avium...) - Diệt bào tử theo EN 17126 (Bacillus subtilis, Bacillus cereus) - Diệt virus EN 17111 (Adenovirus...) 4. Thời gian bảo quản dung dịch trong can sau khi mở nắp đến 3 năm 5. Tương thích với ống nội soi hãng Olympus/Fujifilm/Pentax/Karl Stozr 6. Tương thích với nhiều chất liệu dụng cụ 7. Đạt tiêu chuẩn CE, ISO 13485, ISO 9001 Xuất xứ: Pháp</t>
  </si>
  <si>
    <t>1. Thành phần: 14% N,N-Didecyl-N-Methyl-poly(oxyethyl)ammonium propionate + 0,3% Chlorhexidine digluconate, hỗn hợp 3 enzym: Protease, Lipase, Amylase, chất hoạt động bề mặt 2. Làm sạch và khử nhiễm đa enzyme Nồng độ sử dụng 0.5% (25ml dung dịch trong 5 lít nước) 3. Đạt tiêu chuẩn: ISO 15883 (chống lại màng Biofilm) 4. Hiệu quả diệt khuẩn: Diệt khuẩn trong 5 phút theo EN 14561 (bao gồm các dòng đa kháng MRSA, ESBL, VRE) Diệt virus trong 5 phút theo EN 14476 (HIV-1, HBV, HCV,HSV 1...) Diệt virus có vỏ bọc theo tiêu chuẩn EN 17111 (Vaccinia virus...) 5. Có thể pha loãng với nước cứng 6. Đạt tiêu chuẩn CE, ISO 13485, ISO 9001 Xuất xứ: Pháp</t>
  </si>
  <si>
    <t>1. Thành phần: 0,053% Didecyldimethyl ammonium chloride + 0,064 % Chlorhexidine digluconate kết hợp 22,6% Ethanol. 2. Khử khuẩn nhanh các bề mặt, thiết bị y tế dụng cụ y tế không xâm lấn và không thể khử khuẩn bằng cách ngâm đã được làm sạch giường bệnh, băng ca, xe đẩy bệnh nhân, xe cấp cứu. Thời gian tác dụng nhanh 5 phút 3. Hiệu quả diệt khuẩn (bao gồm MRSA, ESBL) theo EN 13697 trong 5 phút Diệt virus (PRV, BVDV, HSV 1, Vaccinia virus...) trong 1 phút theo EN 14476 4. Tương thích tốt với các chất liệu bề mặt 5. Đạt tiêu chuẩn CE, ISO 13485, ISO 9001 Xuất xứ: Pháp</t>
  </si>
  <si>
    <t>1. Thành phần: 14% N,N-Didecyl-N-Methylpoly(oxyethyl)ammonium propionate + 0,3% Chlorhexidine digluconate, hỗn hợp 3 enzym: 0.5%-2% Protease, 0.1%-0.5% Lipase, 0.1%-0.5% Amylase, chất hoạt động bề mặt 2. Làm sạch và khử nhiễm. Thời gian tiếp xúc: từ 5 phút Nồng độ sử dụng 0.5% (25ml dung dịch trong 5 lít nước) 3. Đạt tiêu chuẩn: ISO 15883 (chống lại màng Biofilm) 4. Hiệu quả diệt khuẩn: Diệt khuẩn EN 14561 (Staphylococcus aureus, Pseudomonas aeruginosa, Enterococcus hirae...) Diệt virus EN 14476 (HIV-1, HBV, HCV,HSV 1...) Diệt virus có vỏ bọc theo tiêu chuẩn EN 17111 (Vaccinia virus...)</t>
  </si>
  <si>
    <t>1. Hồn hợp 5 enzyme 1%-3% protease, 0.1%-0.5% lipase, 0.1%-0.5% amylase, 0.1%-0.5% mannanase, 0.1%-0.5% cellulase.2. Dùng được cho máy rửa tự động và ngâm rửa thủ côngNỗng độ sử dụng: từ 0.1% (máy rửa)pH = 6.89-7.29Thời gian: từ 5 phútPhù hợp với mọi chất lượng nước khác nhau3. Đạt tiêu chuẩn ISO 11930 (Khả năng kháng khuẩn của sản phẩm)4. Hiệu quả chống lại màng biofilm vi khuẩn Pseudomonas aeruginosa theo tiêu chuẩn ISO/TS 15883-5.</t>
  </si>
  <si>
    <t>1. Thành phần: 2% Glutaraldehyde 2. không cần hoạt hóa, pH=6 Khử khuẩn mức độ cao: 10 phút. Tái sử dụng trong 30 ngày (tặng kèm test thử) 3. Hạn sử dụng sau mở nắp: 3 năm 4. Hiệu quả diệt khuẩn: - Diệt khuẩn EN 14561 (Enterococcus hirae, Pseudomonas aeruginosa, Staphylococcus aureus...) - Diệt nấm EN 14562 (Candida albicans, Aspergillus niger...) - Diệt vi khuẩn lao EN 14563 (Mycobacterium terrae, Mycobacterium avium...) - Diệt bào tử trong 120 phút theo EN 17126 (Clostridium difficile, Bacillus cereus, Bacillus subtilis) - Diệt virus EN 17111 (Adenovirus...)</t>
  </si>
  <si>
    <t>1. Thành phần: 0,55% Ortho- Phthalaldehyde, 2. pH=7, dung dịch sẵn sàng sử dụng (không pha loãng). Khử khuẩn mức độ cao trong 5 phút. Tái sử dụng trong 14 ngày (tặng kèm test thử để kiểm tra nồng độ OPA). 3. Hiệu quả diệt khuẩn: - Diệt khuẩn EN 14561 (Pseudomonas aeruginosa, Staphylococcus aureus, Enterococcus hirae...) - Diệt nấm EN 14562 (Candida albicans, Aspergillus niger...) - Diệt vi khuẩn lao EN 14563 (Mycobacterium terrae, Mycobacterium avium...) - Diệt bảo tử trong 30 phút theo EN 17126 (Clostridium difficile, Bacillus subtilis, Bacillus cereus) - Diệt virus EN 17111 (Adenovirus...) 4. Thời gian bảo quản dung dịch trong can sau khi mở nắp trên 3 tháng. 5. Có tài liệu chứng minh tương thích với ống nôi soi hãng Olympus/Fujifilm/Pentax/Karl Stozr</t>
  </si>
  <si>
    <t>SURFA'SAFE PREMIUM</t>
  </si>
  <si>
    <t>1. Thành phần: 0.3% Didecyldimethyl ammonium chloride, chất HĐBM, không chứa cồn 2. Làm sạch và khử khuẩn bề mặt trang thiết bị y tế. Tương thích với Polycarbonate, plexiglas. Đầu phun tạo bọt. Thời gian tiếp xúc: từ 2 phút 3. Hiệu quả diệt khuẩn theo EN 16615 (Enterococcus hirae, Pseudomonas aeruginosa, Staphylococcus aureus) Diệt virus theo tiêu chuẩn EN 14476 (Adenovirus, Norovirus Murine MNV)</t>
  </si>
  <si>
    <t>Số Pallet</t>
  </si>
  <si>
    <t>Feb.26</t>
  </si>
  <si>
    <t>Mar.26</t>
  </si>
  <si>
    <t>Apr.26</t>
  </si>
  <si>
    <t>May.26</t>
  </si>
  <si>
    <t>Jun.26</t>
  </si>
  <si>
    <t>Jul.26</t>
  </si>
  <si>
    <t>Aug.26</t>
  </si>
  <si>
    <t>Sep.26</t>
  </si>
  <si>
    <t>Oct.26</t>
  </si>
  <si>
    <t>Nov.26</t>
  </si>
  <si>
    <t>Dec.26</t>
  </si>
  <si>
    <t>Jan.27</t>
  </si>
  <si>
    <t>Feb.27</t>
  </si>
  <si>
    <t>Mar.27</t>
  </si>
  <si>
    <t>Tên sản phẩm</t>
  </si>
  <si>
    <t>Tồn kho</t>
  </si>
  <si>
    <t>Nhập</t>
  </si>
  <si>
    <t>Xuất</t>
  </si>
  <si>
    <t>Tồn</t>
  </si>
  <si>
    <t>Exeol rinse matic 5L</t>
  </si>
  <si>
    <t>Giá EXW</t>
  </si>
  <si>
    <t>Packing/Pallet</t>
  </si>
  <si>
    <t>Exeol gel 82 500ml</t>
  </si>
  <si>
    <t>Exeol gel 82 1L</t>
  </si>
  <si>
    <t>Exeol gel 82 1L Airless</t>
  </si>
  <si>
    <t>Exeol scrub 4% 1L</t>
  </si>
  <si>
    <t>Exeol scrub 4% 500ml</t>
  </si>
  <si>
    <t>Exeol floor 1L</t>
  </si>
  <si>
    <t>Exeol floor 5L</t>
  </si>
  <si>
    <t>TOTAL 2026</t>
  </si>
  <si>
    <t>Target 2026</t>
  </si>
  <si>
    <t>GAP</t>
  </si>
  <si>
    <t>Grand TOTAL VALUE</t>
  </si>
  <si>
    <t>Apr.27</t>
  </si>
  <si>
    <t>May.27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</si>
</sst>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_);_(* \(#,##0.0\);_(* &quot;-&quot;??_);_(@_)"/>
    <numFmt numFmtId="166" formatCode="_([$€-2]\ * #,##0.00_);_([$€-2]\ * \(#,##0.00\);_([$€-2]\ * &quot;-&quot;??_);_(@_)"/>
    <numFmt numFmtId="167" formatCode="_([$€-2]\ * #,##0_);_([$€-2]\ * \(#,##0\);_([$€-2]\ * &quot;-&quot;??_);_(@_)"/>
  </numFmts>
  <fonts count="14" x14ac:knownFonts="1">
    <font>
      <sz val="11"/>
      <color theme="1"/>
      <name val="Calibri"/>
      <family val="2"/>
    </font>
    <font>
      <sz val="11"/>
      <color theme="1"/>
      <name val="Aptos Narrow"/>
      <family val="2"/>
      <scheme val="minor"/>
    </font>
    <font>
      <sz val="11"/>
      <color theme="1"/>
      <name val="Calibri"/>
      <family val="2"/>
    </font>
    <font>
      <b/>
      <sz val="11"/>
      <color theme="1"/>
      <name val="Calibri"/>
      <family val="2"/>
    </font>
    <font>
      <sz val="11"/>
      <color theme="1"/>
      <name val="Times New Roman"/>
      <family val="1"/>
    </font>
    <font>
      <sz val="11"/>
      <color rgb="FFC00000"/>
      <name val="Times New Roman"/>
      <family val="1"/>
    </font>
    <font>
      <sz val="11"/>
      <color rgb="FFFF0000"/>
      <name val="Times New Roman"/>
      <family val="1"/>
    </font>
    <font>
      <b/>
      <sz val="11"/>
      <name val="Times New Roman"/>
      <family val="1"/>
    </font>
    <font>
      <b/>
      <sz val="11"/>
      <color theme="0"/>
      <name val="Calibri"/>
      <family val="2"/>
    </font>
    <font>
      <sz val="11"/>
      <color theme="0"/>
      <name val="Calibri"/>
      <family val="2"/>
    </font>
    <font>
      <sz val="11"/>
      <color rgb="FF000000"/>
      <name val="Calibri"/>
      <family val="2"/>
    </font>
    <font>
      <sz val="8"/>
      <name val="Calibri"/>
      <family val="2"/>
    </font>
    <font>
      <sz val="9"/>
      <color indexed="81"/>
      <name val="Tahoma"/>
      <family val="2"/>
    </font>
    <font>
      <b/>
      <sz val="9"/>
      <color indexed="81"/>
      <name val="Tahoma"/>
      <family val="2"/>
    </font>
  </fonts>
  <fills count="7">
    <fill>
      <patternFill patternType="none"/>
    </fill>
    <fill>
      <patternFill patternType="gray125"/>
    </fill>
    <fill>
      <patternFill patternType="solid">
        <fgColor rgb="FFE7F1F9"/>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s>
  <borders count="11">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style="thin">
        <color indexed="64"/>
      </left>
      <right/>
      <top style="thin">
        <color indexed="64"/>
      </top>
      <bottom/>
      <diagonal/>
    </border>
    <border>
      <left style="thin">
        <color indexed="64"/>
      </left>
      <right/>
      <top style="thin">
        <color theme="4" tint="0.39997558519241921"/>
      </top>
      <bottom/>
      <diagonal/>
    </border>
    <border>
      <left style="thin">
        <color theme="4" tint="0.39997558519241921"/>
      </left>
      <right/>
      <top style="thin">
        <color indexed="64"/>
      </top>
      <bottom/>
      <diagonal/>
    </border>
    <border>
      <left/>
      <right/>
      <top style="thin">
        <color indexed="64"/>
      </top>
      <bottom/>
      <diagonal/>
    </border>
    <border>
      <left style="thin">
        <color indexed="64"/>
      </left>
      <right/>
      <top style="thin">
        <color theme="4" tint="0.39997558519241921"/>
      </top>
      <bottom style="thin">
        <color theme="4" tint="0.39997558519241921"/>
      </bottom>
      <diagonal/>
    </border>
  </borders>
  <cellStyleXfs count="4">
    <xf numFmtId="0" fontId="0" fillId="0" borderId="0"/>
    <xf numFmtId="43" fontId="1"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71">
    <xf numFmtId="0" fontId="0" fillId="0" borderId="0" xfId="0"/>
    <xf numFmtId="0" fontId="0" fillId="0" borderId="0" xfId="0" applyAlignment="1">
      <alignment horizontal="left"/>
    </xf>
    <xf numFmtId="164" fontId="0" fillId="0" borderId="0" xfId="0" applyNumberFormat="1"/>
    <xf numFmtId="0" fontId="0" fillId="0" borderId="0" xfId="0" pivotButton="1"/>
    <xf numFmtId="0" fontId="0" fillId="0" borderId="0" xfId="0" applyAlignment="1">
      <alignment horizontal="left" inden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5" fillId="0" borderId="2" xfId="0" applyFont="1" applyBorder="1" applyAlignment="1">
      <alignment horizontal="center" vertical="center" wrapText="1"/>
    </xf>
    <xf numFmtId="14" fontId="5" fillId="0" borderId="2" xfId="0" applyNumberFormat="1" applyFont="1" applyBorder="1" applyAlignment="1">
      <alignment horizontal="center" vertical="center" wrapText="1"/>
    </xf>
    <xf numFmtId="14" fontId="4" fillId="0" borderId="2" xfId="0" applyNumberFormat="1" applyFont="1" applyBorder="1" applyAlignment="1">
      <alignment horizontal="center" vertical="center" wrapText="1"/>
    </xf>
    <xf numFmtId="0" fontId="7" fillId="3" borderId="2" xfId="0" applyFont="1" applyFill="1" applyBorder="1" applyAlignment="1">
      <alignment horizontal="center" vertical="center"/>
    </xf>
    <xf numFmtId="0" fontId="7" fillId="3" borderId="2" xfId="0" applyFont="1" applyFill="1" applyBorder="1" applyAlignment="1">
      <alignment horizontal="center" vertical="center" wrapText="1"/>
    </xf>
    <xf numFmtId="0" fontId="4" fillId="0" borderId="2" xfId="0" applyFont="1" applyBorder="1" applyAlignment="1">
      <alignment horizontal="center" vertical="center"/>
    </xf>
    <xf numFmtId="0" fontId="4" fillId="2" borderId="2" xfId="0" applyFont="1" applyFill="1" applyBorder="1" applyAlignment="1">
      <alignment horizontal="center" vertical="center"/>
    </xf>
    <xf numFmtId="0" fontId="4" fillId="0" borderId="2" xfId="0" applyFont="1" applyBorder="1" applyAlignment="1">
      <alignment horizontal="left" vertical="center" wrapText="1"/>
    </xf>
    <xf numFmtId="0" fontId="6" fillId="0" borderId="2" xfId="0" applyFont="1" applyBorder="1" applyAlignment="1">
      <alignment horizontal="center" vertical="center" wrapText="1"/>
    </xf>
    <xf numFmtId="0" fontId="0" fillId="0" borderId="2" xfId="0" applyBorder="1"/>
    <xf numFmtId="9" fontId="0" fillId="0" borderId="0" xfId="3" applyFont="1" applyFill="1"/>
    <xf numFmtId="0" fontId="0" fillId="0" borderId="0" xfId="0" applyFill="1"/>
    <xf numFmtId="0" fontId="9" fillId="0" borderId="0" xfId="0" applyFont="1" applyFill="1"/>
    <xf numFmtId="0" fontId="8" fillId="0" borderId="6" xfId="0" applyFont="1" applyFill="1" applyBorder="1"/>
    <xf numFmtId="164" fontId="8" fillId="0" borderId="6" xfId="2" applyNumberFormat="1" applyFont="1" applyFill="1" applyBorder="1"/>
    <xf numFmtId="0" fontId="8" fillId="0" borderId="6" xfId="0" applyFont="1" applyFill="1" applyBorder="1" applyAlignment="1">
      <alignment wrapText="1"/>
    </xf>
    <xf numFmtId="0" fontId="8" fillId="0" borderId="7" xfId="0" applyFont="1" applyFill="1" applyBorder="1"/>
    <xf numFmtId="9" fontId="8" fillId="0" borderId="1" xfId="3" applyNumberFormat="1" applyFont="1" applyFill="1" applyBorder="1"/>
    <xf numFmtId="0" fontId="8" fillId="0" borderId="1" xfId="0" applyFont="1" applyFill="1" applyBorder="1"/>
    <xf numFmtId="0" fontId="10" fillId="0" borderId="6" xfId="0" applyFont="1" applyFill="1" applyBorder="1"/>
    <xf numFmtId="3" fontId="10" fillId="0" borderId="6" xfId="0" applyNumberFormat="1" applyFont="1" applyFill="1" applyBorder="1"/>
    <xf numFmtId="164" fontId="0" fillId="0" borderId="6" xfId="2" applyNumberFormat="1" applyFont="1" applyFill="1" applyBorder="1"/>
    <xf numFmtId="164" fontId="10" fillId="0" borderId="6" xfId="2" applyNumberFormat="1" applyFont="1" applyFill="1" applyBorder="1"/>
    <xf numFmtId="9" fontId="10" fillId="0" borderId="6" xfId="0" applyNumberFormat="1" applyFont="1" applyFill="1" applyBorder="1"/>
    <xf numFmtId="0" fontId="0" fillId="0" borderId="6" xfId="0" applyFont="1" applyFill="1" applyBorder="1"/>
    <xf numFmtId="9" fontId="0" fillId="0" borderId="7" xfId="3" applyNumberFormat="1" applyFont="1" applyFill="1" applyBorder="1"/>
    <xf numFmtId="9" fontId="0" fillId="0" borderId="1" xfId="3" applyNumberFormat="1" applyFont="1" applyFill="1" applyBorder="1"/>
    <xf numFmtId="0" fontId="0" fillId="0" borderId="1" xfId="0" applyFont="1" applyFill="1" applyBorder="1"/>
    <xf numFmtId="0" fontId="0" fillId="0" borderId="8" xfId="0" applyFont="1" applyFill="1" applyBorder="1"/>
    <xf numFmtId="0" fontId="0" fillId="0" borderId="9" xfId="0" applyFont="1" applyFill="1" applyBorder="1"/>
    <xf numFmtId="0" fontId="10" fillId="0" borderId="9" xfId="0" applyFont="1" applyFill="1" applyBorder="1"/>
    <xf numFmtId="3" fontId="10" fillId="0" borderId="9" xfId="0" applyNumberFormat="1" applyFont="1" applyFill="1" applyBorder="1"/>
    <xf numFmtId="0" fontId="0" fillId="0" borderId="5" xfId="0" applyFont="1" applyFill="1" applyBorder="1"/>
    <xf numFmtId="0" fontId="0" fillId="0" borderId="4" xfId="0" applyFont="1" applyFill="1" applyBorder="1"/>
    <xf numFmtId="0" fontId="10" fillId="0" borderId="4" xfId="0" applyFont="1" applyFill="1" applyBorder="1"/>
    <xf numFmtId="0" fontId="0" fillId="0" borderId="10" xfId="0" applyFont="1" applyFill="1" applyBorder="1"/>
    <xf numFmtId="0" fontId="0" fillId="0" borderId="3" xfId="0" applyFont="1" applyFill="1" applyBorder="1"/>
    <xf numFmtId="0" fontId="10" fillId="0" borderId="3" xfId="0" applyFont="1" applyFill="1" applyBorder="1"/>
    <xf numFmtId="0" fontId="10" fillId="0" borderId="10" xfId="0" applyFont="1" applyFill="1" applyBorder="1"/>
    <xf numFmtId="3" fontId="10" fillId="0" borderId="4" xfId="0" applyNumberFormat="1" applyFont="1" applyFill="1" applyBorder="1"/>
    <xf numFmtId="164" fontId="0" fillId="0" borderId="3" xfId="2" applyNumberFormat="1" applyFont="1" applyFill="1" applyBorder="1"/>
    <xf numFmtId="164" fontId="10" fillId="0" borderId="3" xfId="2" applyNumberFormat="1" applyFont="1" applyFill="1" applyBorder="1"/>
    <xf numFmtId="9" fontId="0" fillId="0" borderId="10" xfId="3" applyNumberFormat="1" applyFont="1" applyFill="1" applyBorder="1"/>
    <xf numFmtId="9" fontId="0" fillId="0" borderId="4" xfId="3" applyNumberFormat="1" applyFont="1" applyFill="1" applyBorder="1"/>
    <xf numFmtId="0" fontId="3" fillId="0" borderId="2" xfId="0" applyFont="1" applyBorder="1"/>
    <xf numFmtId="0" fontId="3" fillId="0" borderId="2" xfId="0" applyFont="1" applyBorder="1" applyAlignment="1">
      <alignment horizontal="center"/>
    </xf>
    <xf numFmtId="0" fontId="3" fillId="3" borderId="2" xfId="0" applyFont="1" applyFill="1" applyBorder="1" applyAlignment="1">
      <alignment horizontal="center"/>
    </xf>
    <xf numFmtId="0" fontId="3" fillId="4" borderId="2" xfId="0" applyFont="1" applyFill="1" applyBorder="1" applyAlignment="1">
      <alignment horizontal="center"/>
    </xf>
    <xf numFmtId="49" fontId="3" fillId="0" borderId="0" xfId="0" applyNumberFormat="1" applyFont="1" applyAlignment="1">
      <alignment horizontal="center"/>
    </xf>
    <xf numFmtId="0" fontId="3" fillId="3" borderId="2" xfId="0" applyFont="1" applyFill="1" applyBorder="1" applyAlignment="1">
      <alignment horizontal="center"/>
    </xf>
    <xf numFmtId="0" fontId="3" fillId="4" borderId="2" xfId="0" applyFont="1" applyFill="1" applyBorder="1" applyAlignment="1">
      <alignment horizontal="center"/>
    </xf>
    <xf numFmtId="0" fontId="0" fillId="3" borderId="2" xfId="0" applyFill="1" applyBorder="1"/>
    <xf numFmtId="0" fontId="0" fillId="4" borderId="2" xfId="0" applyFill="1" applyBorder="1"/>
    <xf numFmtId="0" fontId="0" fillId="5" borderId="2" xfId="0" applyFill="1" applyBorder="1"/>
    <xf numFmtId="164" fontId="0" fillId="0" borderId="1" xfId="1" applyNumberFormat="1" applyFont="1" applyFill="1" applyBorder="1"/>
    <xf numFmtId="0" fontId="3" fillId="3" borderId="2" xfId="0" applyFont="1" applyFill="1" applyBorder="1" applyAlignment="1"/>
    <xf numFmtId="0" fontId="3" fillId="4" borderId="2" xfId="0" applyFont="1" applyFill="1" applyBorder="1" applyAlignment="1"/>
    <xf numFmtId="165" fontId="0" fillId="0" borderId="0" xfId="2" applyNumberFormat="1" applyFont="1"/>
    <xf numFmtId="0" fontId="3" fillId="6" borderId="0" xfId="0" applyFont="1" applyFill="1"/>
    <xf numFmtId="165" fontId="3" fillId="6" borderId="0" xfId="2" applyNumberFormat="1" applyFont="1" applyFill="1"/>
    <xf numFmtId="166" fontId="3" fillId="6" borderId="0" xfId="2" applyNumberFormat="1" applyFont="1" applyFill="1"/>
    <xf numFmtId="167" fontId="3" fillId="6" borderId="0" xfId="2" applyNumberFormat="1" applyFont="1" applyFill="1"/>
    <xf numFmtId="167" fontId="0" fillId="0" borderId="2" xfId="0" applyNumberFormat="1" applyBorder="1" applyAlignment="1">
      <alignment horizontal="center"/>
    </xf>
    <xf numFmtId="0" fontId="8" fillId="0" borderId="0" xfId="0" applyFont="1" applyFill="1"/>
  </cellXfs>
  <cellStyles count="4">
    <cellStyle name="Comma" xfId="1" builtinId="3"/>
    <cellStyle name="Comma 2" xfId="2" xr:uid="{7F88FDB1-F06A-4C33-96B2-004C910DCE39}"/>
    <cellStyle name="Normal" xfId="0" builtinId="0"/>
    <cellStyle name="Percent 2" xfId="3" xr:uid="{2F15C9AC-7AD7-4E60-9964-1DFB32B9CC36}"/>
  </cellStyles>
  <dxfs count="44">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border diagonalUp="0" diagonalDown="0">
        <left/>
        <right/>
        <top style="thin">
          <color theme="4" tint="0.39997558519241921"/>
        </top>
        <bottom/>
        <vertical/>
        <horizontal/>
      </border>
    </dxf>
    <dxf>
      <numFmt numFmtId="165" formatCode="_(* #,##0.0_);_(* \(#,##0.0\);_(* &quot;-&quot;??_);_(@_)"/>
    </dxf>
    <dxf>
      <font>
        <b val="0"/>
        <i val="0"/>
        <strike val="0"/>
        <condense val="0"/>
        <extend val="0"/>
        <outline val="0"/>
        <shadow val="0"/>
        <u val="none"/>
        <vertAlign val="baseline"/>
        <sz val="11"/>
        <color theme="1"/>
        <name val="Calibri"/>
        <family val="2"/>
        <scheme val="none"/>
      </font>
      <numFmt numFmtId="13" formatCode="0%"/>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3" formatCode="0%"/>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3" formatCode="0%"/>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numFmt numFmtId="13" formatCode="0%"/>
      <fill>
        <patternFill patternType="none">
          <fgColor indexed="64"/>
          <bgColor indexed="6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dxf>
    <dxf>
      <font>
        <b/>
        <i val="0"/>
        <strike val="0"/>
        <condense val="0"/>
        <extend val="0"/>
        <outline val="0"/>
        <shadow val="0"/>
        <u val="none"/>
        <vertAlign val="baseline"/>
        <sz val="11"/>
        <color theme="0"/>
        <name val="Calibri"/>
        <family val="2"/>
        <scheme val="none"/>
      </font>
      <fill>
        <patternFill patternType="none">
          <fgColor theme="4"/>
          <bgColor auto="1"/>
        </patternFill>
      </fill>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3" formatCode="0%"/>
      <fill>
        <patternFill patternType="none">
          <fgColor theme="4" tint="0.79998168889431442"/>
          <bgColor auto="1"/>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3" formatCode="0%"/>
      <fill>
        <patternFill patternType="none">
          <fgColor theme="4" tint="0.79998168889431442"/>
          <bgColor auto="1"/>
        </patternFill>
      </fill>
      <border diagonalUp="0" diagonalDown="0" outline="0">
        <left style="thin">
          <color indexed="64"/>
        </left>
        <right/>
        <top style="thin">
          <color theme="4" tint="0.39997558519241921"/>
        </top>
        <bottom/>
      </border>
    </dxf>
    <dxf>
      <font>
        <b val="0"/>
        <i val="0"/>
        <strike val="0"/>
        <condense val="0"/>
        <extend val="0"/>
        <outline val="0"/>
        <shadow val="0"/>
        <u val="none"/>
        <vertAlign val="baseline"/>
        <sz val="11"/>
        <color theme="1"/>
        <name val="Calibri"/>
        <family val="2"/>
        <scheme val="none"/>
      </font>
      <numFmt numFmtId="164" formatCode="_(* #,##0_);_(* \(#,##0\);_(* &quot;-&quot;??_);_(@_)"/>
      <fill>
        <patternFill patternType="none">
          <fgColor theme="4" tint="0.79998168889431442"/>
          <bgColor auto="1"/>
        </patternFill>
      </fill>
      <border diagonalUp="0" diagonalDown="0" outline="0">
        <left style="thin">
          <color indexed="64"/>
        </left>
        <right/>
        <top style="thin">
          <color indexed="64"/>
        </top>
        <bottom/>
      </border>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0000"/>
        <name val="Calibri"/>
        <family val="2"/>
        <scheme val="none"/>
      </font>
      <numFmt numFmtId="164" formatCode="_(* #,##0_);_(* \(#,##0\);_(* &quot;-&quot;??_);_(@_)"/>
      <fill>
        <patternFill patternType="none">
          <fgColor theme="4" tint="0.79998168889431442"/>
          <bgColor auto="1"/>
        </patternFill>
      </fill>
      <border diagonalUp="0" diagonalDown="0" outline="0">
        <left style="thin">
          <color indexed="64"/>
        </left>
        <right/>
        <top style="thin">
          <color indexed="64"/>
        </top>
        <bottom/>
      </border>
    </dxf>
    <dxf>
      <fill>
        <patternFill patternType="none">
          <bgColor auto="1"/>
        </patternFill>
      </fill>
    </dxf>
    <dxf>
      <font>
        <b val="0"/>
        <i val="0"/>
        <strike val="0"/>
        <condense val="0"/>
        <extend val="0"/>
        <outline val="0"/>
        <shadow val="0"/>
        <u val="none"/>
        <vertAlign val="baseline"/>
        <sz val="11"/>
        <color theme="1"/>
        <name val="Calibri"/>
        <family val="2"/>
        <scheme val="none"/>
      </font>
      <numFmt numFmtId="164" formatCode="_(* #,##0_);_(* \(#,##0\);_(* &quot;-&quot;??_);_(@_)"/>
      <fill>
        <patternFill patternType="none">
          <fgColor theme="4" tint="0.79998168889431442"/>
          <bgColor auto="1"/>
        </patternFill>
      </fill>
      <border diagonalUp="0" diagonalDown="0" outline="0">
        <left style="thin">
          <color indexed="64"/>
        </left>
        <right/>
        <top style="thin">
          <color indexed="64"/>
        </top>
        <bottom/>
      </border>
    </dxf>
    <dxf>
      <fill>
        <patternFill patternType="none">
          <bgColor auto="1"/>
        </patternFill>
      </fill>
    </dxf>
    <dxf>
      <fill>
        <patternFill patternType="none">
          <bgColor auto="1"/>
        </patternFill>
      </fill>
    </dxf>
    <dxf>
      <fill>
        <patternFill patternType="none">
          <bgColor auto="1"/>
        </patternFill>
      </fill>
    </dxf>
    <dxf>
      <font>
        <b val="0"/>
        <i val="0"/>
        <strike val="0"/>
        <condense val="0"/>
        <extend val="0"/>
        <outline val="0"/>
        <shadow val="0"/>
        <u val="none"/>
        <vertAlign val="baseline"/>
        <sz val="11"/>
        <color rgb="FF000000"/>
        <name val="Calibri"/>
        <family val="2"/>
        <scheme val="none"/>
      </font>
      <fill>
        <patternFill patternType="none">
          <fgColor theme="4" tint="0.79998168889431442"/>
          <bgColor auto="1"/>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rgb="FF000000"/>
        <name val="Calibri"/>
        <family val="2"/>
        <scheme val="none"/>
      </font>
      <fill>
        <patternFill patternType="none">
          <fgColor theme="4" tint="0.79998168889431442"/>
          <bgColor auto="1"/>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rgb="FF000000"/>
        <name val="Calibri"/>
        <family val="2"/>
        <scheme val="none"/>
      </font>
      <fill>
        <patternFill patternType="none">
          <fgColor theme="4" tint="0.79998168889431442"/>
          <bgColor auto="1"/>
        </patternFill>
      </fill>
      <border diagonalUp="0" diagonalDown="0" outline="0">
        <left style="thin">
          <color indexed="64"/>
        </left>
        <right/>
        <top style="thin">
          <color indexed="64"/>
        </top>
        <bottom/>
      </border>
    </dxf>
    <dxf>
      <font>
        <b val="0"/>
        <i val="0"/>
        <strike val="0"/>
        <condense val="0"/>
        <extend val="0"/>
        <outline val="0"/>
        <shadow val="0"/>
        <u val="none"/>
        <vertAlign val="baseline"/>
        <sz val="11"/>
        <color rgb="FF000000"/>
        <name val="Calibri"/>
        <family val="2"/>
        <scheme val="none"/>
      </font>
      <fill>
        <patternFill patternType="none">
          <fgColor theme="4" tint="0.79998168889431442"/>
          <bgColor auto="1"/>
        </patternFill>
      </fill>
      <border diagonalUp="0" diagonalDown="0" outline="0">
        <left style="thin">
          <color indexed="64"/>
        </left>
        <right/>
        <top style="thin">
          <color indexed="64"/>
        </top>
        <bottom/>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outline="0">
        <right style="thin">
          <color theme="4" tint="0.39997558519241921"/>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vinamed-my.sharepoint.com/2024/02.%20PS/02.%20B&#225;o%20c&#225;o%20Mr%20S&#7871;p/Th&#225;ng%2010.24/B&#225;o%20c&#225;o%20Dash%20board%20Sale%209M%202024_MB_%2017.10.2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vinamed-my.sharepoint.com/2024/07.%20L&#7883;ch%20c&#225;%20nh&#226;n/Thi&#7871;t%20k&#7871;%20Excel%20Dashboard%20B&#225;o%20c&#225;o%20tr&#7921;c%20quan/Kh&#243;a+h&#7885;c+Thi&#7871;t+k&#7871;+b&#225;o+c&#225;o+Excel+Dashboard+(SLIDE+FACTORY+x+Xcel)+Udemy+Course.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incotecvn-my.sharepoint.com/personal/louis_tran_incotec_vn/Documents/DATA1/SODEL/06.%20Plan/FC%20ICT%202026.xlsx" TargetMode="External"/><Relationship Id="rId1" Type="http://schemas.openxmlformats.org/officeDocument/2006/relationships/externalLinkPath" Target="/personal/louis_tran_incotec_vn/Documents/DATA1/SODEL/06.%20Plan/FC%20ICT%20202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SIEUTRAN\Downloads\Review%20&#273;&#7883;a%20b&#224;n%202025_S%20(1).xlsx" TargetMode="External"/><Relationship Id="rId1" Type="http://schemas.openxmlformats.org/officeDocument/2006/relationships/externalLinkPath" Target="file:///C:\Users\SIEUTRAN\Downloads\Review%20&#273;&#7883;a%20b&#224;n%202025_S%20(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vinamed-my.sharepoint.com/personal/vi_nguyenthao_vinamed_com_vn/Documents/BC%20PS/12.2025/BC%20DOANHTHU%20-%20QUOTA%20TH&#7846;U%20NEW%20MN.xlsx" TargetMode="External"/><Relationship Id="rId1" Type="http://schemas.openxmlformats.org/officeDocument/2006/relationships/externalLinkPath" Target="https://vinamed-my.sharepoint.com/personal/vi_nguyenthao_vinamed_com_vn/Documents/BC%20PS/12.2025/BC%20DOANHTHU%20-%20QUOTA%20TH&#7846;U%20NEW%20M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 put"/>
      <sheetName val="Pivot Địa bàn"/>
      <sheetName val="Pivot MKT"/>
      <sheetName val="Data Sale YTD"/>
      <sheetName val="SL bán 2024"/>
      <sheetName val="Data thầu MB"/>
      <sheetName val="Data thầu sắp tới"/>
      <sheetName val="Team"/>
      <sheetName val="Linh "/>
      <sheetName val="Châm"/>
      <sheetName val="Tình "/>
      <sheetName val="Hương "/>
      <sheetName val="Báo cáo Dash board Sale 9M 2024"/>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genda"/>
      <sheetName val="Summary"/>
      <sheetName val="Data"/>
      <sheetName val="PhânLoạiKH"/>
      <sheetName val="Data_ThựcHành"/>
      <sheetName val="Data_Giang ThựcHành"/>
      <sheetName val="PhânLoạiKH_Giang Thựchành"/>
      <sheetName val="PhânLoạiKH_Thực hành"/>
      <sheetName val="PIVOT"/>
      <sheetName val="PIVOT_Thựchành"/>
      <sheetName val="PIVOT_Giang Thựchành"/>
      <sheetName val="TextShape"/>
      <sheetName val="BG1"/>
      <sheetName val="BG Edited"/>
      <sheetName val="Storyboard"/>
      <sheetName val="Organized Storyboard "/>
      <sheetName val="Final"/>
      <sheetName val="Khóa+học+Thiết+kế+báo+cáo+Exce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centive"/>
      <sheetName val="TOTAL - Account"/>
      <sheetName val="Total - product"/>
      <sheetName val="Pivot- BV Công"/>
      <sheetName val="Pivot-BV Công - Revise"/>
      <sheetName val="DT- Sản phẩm"/>
      <sheetName val="DT - BV Công - Đại lý"/>
      <sheetName val="DT - BV Tư"/>
      <sheetName val="Detail"/>
      <sheetName val="DATA VALID"/>
    </sheetNames>
    <sheetDataSet>
      <sheetData sheetId="0"/>
      <sheetData sheetId="1"/>
      <sheetData sheetId="2"/>
      <sheetData sheetId="3"/>
      <sheetData sheetId="4"/>
      <sheetData sheetId="5"/>
      <sheetData sheetId="6"/>
      <sheetData sheetId="7"/>
      <sheetData sheetId="8"/>
      <sheetData sheetId="9">
        <row r="1">
          <cell r="A1" t="str">
            <v>Tên mặt hàng dự thầu</v>
          </cell>
          <cell r="G1" t="str">
            <v>Tên SP SODEL</v>
          </cell>
          <cell r="H1" t="str">
            <v>Giá Exwork (Eur)</v>
          </cell>
          <cell r="I1" t="str">
            <v>Thuế NK</v>
          </cell>
          <cell r="J1" t="str">
            <v>VAT</v>
          </cell>
          <cell r="K1" t="str">
            <v>Giá tại kho</v>
          </cell>
          <cell r="M1" t="str">
            <v>Pháp nhân bán</v>
          </cell>
          <cell r="N1" t="str">
            <v>Nhóm khách hàng</v>
          </cell>
          <cell r="O1" t="str">
            <v>% CPK1/DT chưa VAT</v>
          </cell>
        </row>
        <row r="2">
          <cell r="A2" t="str">
            <v>Zhivasept Opa</v>
          </cell>
          <cell r="B2" t="str">
            <v>Exeol OPA</v>
          </cell>
          <cell r="G2" t="str">
            <v>Exeol gel 82 500ml</v>
          </cell>
          <cell r="H2">
            <v>1.7729999999999999</v>
          </cell>
          <cell r="I2">
            <v>0</v>
          </cell>
          <cell r="J2">
            <v>0.05</v>
          </cell>
          <cell r="K2">
            <v>56913.3</v>
          </cell>
          <cell r="M2" t="str">
            <v>Hào Tín</v>
          </cell>
          <cell r="N2" t="str">
            <v>Đại lý/Tổng thầu</v>
          </cell>
          <cell r="O2">
            <v>0</v>
          </cell>
        </row>
        <row r="3">
          <cell r="A3" t="str">
            <v>Anios’Clean Excel D</v>
          </cell>
          <cell r="B3" t="str">
            <v>Exeol sept first</v>
          </cell>
          <cell r="G3" t="str">
            <v>Exeol gel 82 1L</v>
          </cell>
          <cell r="H3">
            <v>3.26</v>
          </cell>
          <cell r="I3">
            <v>0</v>
          </cell>
          <cell r="J3">
            <v>0.05</v>
          </cell>
          <cell r="K3">
            <v>104646</v>
          </cell>
          <cell r="M3" t="str">
            <v>SPC</v>
          </cell>
          <cell r="N3" t="str">
            <v>BV công</v>
          </cell>
          <cell r="O3">
            <v>0.1</v>
          </cell>
        </row>
        <row r="4">
          <cell r="A4" t="str">
            <v>Aniosyme X3</v>
          </cell>
          <cell r="B4" t="str">
            <v>Exeol sept E2</v>
          </cell>
          <cell r="G4" t="str">
            <v>Exeol gel 82 1L Airless</v>
          </cell>
          <cell r="H4">
            <v>3.15</v>
          </cell>
          <cell r="I4">
            <v>0</v>
          </cell>
          <cell r="J4">
            <v>0.05</v>
          </cell>
          <cell r="K4">
            <v>101115</v>
          </cell>
          <cell r="M4" t="str">
            <v>Phương Nam</v>
          </cell>
          <cell r="N4" t="str">
            <v>Đại lý/Tổng thầu</v>
          </cell>
          <cell r="O4">
            <v>0</v>
          </cell>
        </row>
        <row r="5">
          <cell r="A5" t="str">
            <v>Wip'Anios Excel</v>
          </cell>
          <cell r="B5" t="str">
            <v>Exeol wipe optimal</v>
          </cell>
          <cell r="G5" t="str">
            <v>Exeol scrub 4% 1L</v>
          </cell>
          <cell r="H5">
            <v>3.3740000000000001</v>
          </cell>
          <cell r="I5">
            <v>0</v>
          </cell>
          <cell r="J5">
            <v>0.05</v>
          </cell>
          <cell r="K5">
            <v>108305.40000000001</v>
          </cell>
          <cell r="M5" t="str">
            <v>Miền Tây</v>
          </cell>
          <cell r="N5" t="str">
            <v>Đại lý/Tổng thầu</v>
          </cell>
          <cell r="O5">
            <v>0</v>
          </cell>
        </row>
        <row r="6">
          <cell r="A6" t="str">
            <v>Aniospray Surf 29</v>
          </cell>
          <cell r="B6" t="str">
            <v xml:space="preserve">Exeol surf 30 </v>
          </cell>
          <cell r="G6" t="str">
            <v>Exeol scrub 4% 500ml</v>
          </cell>
          <cell r="H6">
            <v>2.1</v>
          </cell>
          <cell r="I6">
            <v>0</v>
          </cell>
          <cell r="J6">
            <v>0.05</v>
          </cell>
          <cell r="K6">
            <v>67410</v>
          </cell>
          <cell r="M6" t="str">
            <v>ICT</v>
          </cell>
          <cell r="N6" t="str">
            <v>BV tư</v>
          </cell>
          <cell r="O6">
            <v>7.0000000000000007E-2</v>
          </cell>
        </row>
        <row r="7">
          <cell r="A7" t="str">
            <v>Opaster'Anios</v>
          </cell>
          <cell r="B7" t="str">
            <v xml:space="preserve">Exeol OPA </v>
          </cell>
          <cell r="G7" t="str">
            <v>Exeol surf 30 1L</v>
          </cell>
          <cell r="H7">
            <v>3.9060000000000001</v>
          </cell>
          <cell r="I7">
            <v>0</v>
          </cell>
          <cell r="J7">
            <v>0.05</v>
          </cell>
          <cell r="K7">
            <v>125382.6</v>
          </cell>
        </row>
        <row r="8">
          <cell r="A8" t="str">
            <v>Steranios 2%</v>
          </cell>
          <cell r="B8" t="str">
            <v xml:space="preserve">Exeol GTA 2% </v>
          </cell>
          <cell r="G8" t="str">
            <v>Exeol surf 30 5L</v>
          </cell>
          <cell r="H8">
            <v>10.76</v>
          </cell>
          <cell r="I8">
            <v>0</v>
          </cell>
          <cell r="J8">
            <v>0.05</v>
          </cell>
          <cell r="K8">
            <v>345396</v>
          </cell>
        </row>
        <row r="9">
          <cell r="A9" t="str">
            <v>Neodisher Septo Active</v>
          </cell>
          <cell r="B9" t="str">
            <v>Không thầu</v>
          </cell>
          <cell r="G9" t="str">
            <v>Exeol floor 1L</v>
          </cell>
          <cell r="H9">
            <v>4.59</v>
          </cell>
          <cell r="I9">
            <v>0</v>
          </cell>
          <cell r="J9">
            <v>0.05</v>
          </cell>
          <cell r="K9">
            <v>147339</v>
          </cell>
        </row>
        <row r="10">
          <cell r="A10" t="str">
            <v>Surfa'Safe Premium</v>
          </cell>
          <cell r="B10" t="str">
            <v>Exeol surf optimal</v>
          </cell>
          <cell r="G10" t="str">
            <v>Exeol floor 5L</v>
          </cell>
          <cell r="H10">
            <v>17.739999999999998</v>
          </cell>
          <cell r="I10">
            <v>0</v>
          </cell>
          <cell r="J10">
            <v>0.05</v>
          </cell>
          <cell r="K10">
            <v>569454</v>
          </cell>
        </row>
        <row r="11">
          <cell r="A11" t="str">
            <v>Cidezyme</v>
          </cell>
          <cell r="B11" t="str">
            <v xml:space="preserve">Exeol clean 4E </v>
          </cell>
          <cell r="G11" t="str">
            <v>Exeol surf optimal 750ml</v>
          </cell>
          <cell r="H11">
            <v>3.49</v>
          </cell>
          <cell r="I11">
            <v>0</v>
          </cell>
          <cell r="J11">
            <v>0.05</v>
          </cell>
          <cell r="K11">
            <v>112029</v>
          </cell>
        </row>
        <row r="12">
          <cell r="A12" t="str">
            <v>Neodisher MediClean Forte</v>
          </cell>
          <cell r="B12" t="str">
            <v xml:space="preserve">Exeol clean 4E </v>
          </cell>
          <cell r="G12" t="str">
            <v>Exeol wipe optimal</v>
          </cell>
          <cell r="H12">
            <v>3.9060000000000001</v>
          </cell>
          <cell r="I12">
            <v>0</v>
          </cell>
          <cell r="J12">
            <v>0.05</v>
          </cell>
          <cell r="K12">
            <v>125382.6</v>
          </cell>
        </row>
        <row r="13">
          <cell r="A13" t="str">
            <v>Aniosyme Synergy 5</v>
          </cell>
          <cell r="B13" t="str">
            <v xml:space="preserve">Exeol clean 4E </v>
          </cell>
          <cell r="G13" t="str">
            <v>Exeol sept first 1L</v>
          </cell>
          <cell r="H13">
            <v>4.2699999999999996</v>
          </cell>
          <cell r="I13">
            <v>0</v>
          </cell>
          <cell r="J13">
            <v>0.05</v>
          </cell>
          <cell r="K13">
            <v>137067</v>
          </cell>
        </row>
        <row r="14">
          <cell r="A14" t="str">
            <v>CaviWipes1</v>
          </cell>
          <cell r="B14" t="str">
            <v>Exeol wipe optimal</v>
          </cell>
          <cell r="G14" t="str">
            <v>Exeol sept first 5L</v>
          </cell>
          <cell r="H14">
            <v>19.2</v>
          </cell>
          <cell r="I14">
            <v>0</v>
          </cell>
          <cell r="J14">
            <v>0.05</v>
          </cell>
          <cell r="K14">
            <v>616320</v>
          </cell>
        </row>
        <row r="15">
          <cell r="A15" t="str">
            <v>Dentasept Aspiration AF+</v>
          </cell>
          <cell r="B15" t="str">
            <v>Không thầu</v>
          </cell>
          <cell r="G15" t="str">
            <v>Exeol rinse matic 5L</v>
          </cell>
          <cell r="H15">
            <v>18.260000000000002</v>
          </cell>
          <cell r="I15">
            <v>0.08</v>
          </cell>
          <cell r="J15">
            <v>0.05</v>
          </cell>
          <cell r="K15">
            <v>633037.68000000005</v>
          </cell>
        </row>
        <row r="16">
          <cell r="A16" t="str">
            <v>Empower Fragrance Free</v>
          </cell>
          <cell r="B16" t="str">
            <v xml:space="preserve">Exeol clean 4E </v>
          </cell>
          <cell r="G16" t="str">
            <v>Exeol clean 4E 1L</v>
          </cell>
          <cell r="H16">
            <v>5.87</v>
          </cell>
          <cell r="I16">
            <v>0.1</v>
          </cell>
          <cell r="J16">
            <v>0.05</v>
          </cell>
          <cell r="K16">
            <v>207269.70000000004</v>
          </cell>
        </row>
        <row r="17">
          <cell r="A17" t="str">
            <v>Metricide Opa Plus</v>
          </cell>
          <cell r="B17" t="str">
            <v xml:space="preserve">Exeol OPA </v>
          </cell>
          <cell r="G17" t="str">
            <v>Exeol clean 4E 5L</v>
          </cell>
          <cell r="H17">
            <v>25.93</v>
          </cell>
          <cell r="I17">
            <v>0.1</v>
          </cell>
          <cell r="J17">
            <v>0.05</v>
          </cell>
          <cell r="K17">
            <v>915588.30000000016</v>
          </cell>
        </row>
        <row r="18">
          <cell r="A18" t="str">
            <v>Cavicide1</v>
          </cell>
          <cell r="B18" t="str">
            <v xml:space="preserve">Exeol sept first </v>
          </cell>
          <cell r="G18" t="str">
            <v>Exeol sept 2E 1L</v>
          </cell>
          <cell r="H18">
            <v>7.65</v>
          </cell>
          <cell r="I18">
            <v>0</v>
          </cell>
          <cell r="J18">
            <v>0.05</v>
          </cell>
          <cell r="K18">
            <v>245565</v>
          </cell>
        </row>
        <row r="19">
          <cell r="A19" t="str">
            <v>deconex® TWIN ZYME xpert</v>
          </cell>
          <cell r="B19" t="str">
            <v xml:space="preserve">Exeol clean 4E </v>
          </cell>
          <cell r="G19" t="str">
            <v>Exeol sept 2E 5L</v>
          </cell>
          <cell r="H19">
            <v>35.883000000000003</v>
          </cell>
          <cell r="I19">
            <v>0</v>
          </cell>
          <cell r="J19">
            <v>0.05</v>
          </cell>
          <cell r="K19">
            <v>1151844.3</v>
          </cell>
        </row>
        <row r="20">
          <cell r="A20" t="str">
            <v>CIDEX OPA</v>
          </cell>
          <cell r="B20" t="str">
            <v xml:space="preserve">Exeol OPA </v>
          </cell>
          <cell r="G20" t="str">
            <v>Exeol OPA 5L</v>
          </cell>
          <cell r="H20">
            <v>15.21</v>
          </cell>
          <cell r="I20">
            <v>0</v>
          </cell>
          <cell r="J20">
            <v>0.05</v>
          </cell>
          <cell r="K20">
            <v>488241</v>
          </cell>
        </row>
        <row r="21">
          <cell r="A21" t="str">
            <v>Meliseptol® rapid</v>
          </cell>
          <cell r="B21" t="str">
            <v xml:space="preserve">Exeol surf 30 </v>
          </cell>
          <cell r="G21" t="str">
            <v>Exeol GTA 2% 5L</v>
          </cell>
          <cell r="H21">
            <v>5.97</v>
          </cell>
          <cell r="I21">
            <v>0</v>
          </cell>
          <cell r="J21">
            <v>0.05</v>
          </cell>
          <cell r="K21">
            <v>191637</v>
          </cell>
        </row>
        <row r="22">
          <cell r="A22" t="str">
            <v>Caviwipes 1</v>
          </cell>
          <cell r="B22" t="str">
            <v>Exeol wipe optimal</v>
          </cell>
        </row>
        <row r="23">
          <cell r="A23" t="str">
            <v>Stabimed Fresh</v>
          </cell>
          <cell r="B23" t="str">
            <v xml:space="preserve">Exeol sept first </v>
          </cell>
        </row>
        <row r="24">
          <cell r="A24" t="str">
            <v xml:space="preserve">Aniosyme X3 </v>
          </cell>
          <cell r="B24" t="str">
            <v>Exeol sept E2</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nh sách Account - 0ANIOS"/>
      <sheetName val="Danh sách account - ANIOS"/>
      <sheetName val="Tổng hợp"/>
      <sheetName val="ANIOS-draft"/>
      <sheetName val="PIVOT-ANIOS"/>
      <sheetName val="PIVOT-SL"/>
      <sheetName val="0ANIOS"/>
      <sheetName val="ANIOS"/>
      <sheetName val="NXT"/>
      <sheetName val="DK Bán"/>
      <sheetName val="DK đặt hàng"/>
      <sheetName val="ANIOS "/>
      <sheetName val="2025"/>
      <sheetName val="Ref"/>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sheetName val="Quota thầu"/>
      <sheetName val="Ngọc DT"/>
      <sheetName val="LinhĐ DT"/>
      <sheetName val="Dương DT"/>
      <sheetName val="Ngân DT"/>
      <sheetName val="Hằng DT"/>
      <sheetName val="LinhH DT"/>
      <sheetName val="Hồng DT"/>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personal/louis_tran_incotec_vn/Documents/DATA1/SODEL/06.%20Plan/FC%20ICT%202026.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EUTRAN" refreshedDate="46100.659725347221" createdVersion="8" refreshedVersion="8" minRefreshableVersion="3" recordCount="171" xr:uid="{EB7E80CF-555C-4197-888D-59A448D9BA00}">
  <cacheSource type="worksheet">
    <worksheetSource name="Table1" r:id="rId2"/>
  </cacheSource>
  <cacheFields count="26">
    <cacheField name="Tháng" numFmtId="0">
      <sharedItems containsString="0" containsBlank="1" containsNumber="1" containsInteger="1" minValue="4" maxValue="12"/>
    </cacheField>
    <cacheField name="Năm" numFmtId="0">
      <sharedItems containsString="0" containsBlank="1" containsNumber="1" containsInteger="1" minValue="2025" maxValue="2025"/>
    </cacheField>
    <cacheField name="Ngành hàng" numFmtId="0">
      <sharedItems containsBlank="1"/>
    </cacheField>
    <cacheField name="KV" numFmtId="0">
      <sharedItems containsBlank="1"/>
    </cacheField>
    <cacheField name="Tên PS" numFmtId="0">
      <sharedItems containsBlank="1"/>
    </cacheField>
    <cacheField name="Số IB" numFmtId="0">
      <sharedItems containsBlank="1"/>
    </cacheField>
    <cacheField name="Tên Khách hàng" numFmtId="0">
      <sharedItems count="74">
        <s v="Bệnh viện Đa Khoa Tỉnh Trà Vinh"/>
        <s v="Bệnh viện Truyền Máu Huyết Học"/>
        <s v="Trung Tâm Y Tế Quận Lê Chân"/>
        <s v="Bệnh viện Bãi Cháy"/>
        <s v="Bệnh viện Đa Khoa Khu Vực Thủ Đức"/>
        <s v="Bệnh viện Đa Khoa Sơn Tây"/>
        <s v="Bệnh viện Nhi Thanh Hóa"/>
        <s v="Trung Tâm Y Tế Huyện Quốc Oai"/>
        <s v="Bệnh viện Chợ Rẫy"/>
        <s v="Bệnh viện Sản Nhi Tỉnh Hưng Yên"/>
        <s v="Bệnh viện Thành Phố Thủ Đức"/>
        <s v="Bệnh viện Y Dược Cổ Truyền Tỉnh Quảng Ninh"/>
        <s v="Trung Tâm Y Tế Huyện Ba Vì"/>
        <s v="Trung Tâm Y Tế Huyện Đan Phượng"/>
        <s v="Trung Tâm Y Tế Huyện Phúc Thọ"/>
        <s v="Viện Y Học Phòng Không Không Quân"/>
        <s v="Bệnh viện Bưu Điện"/>
        <s v="Bệnh viện Đa Khoa An Giang"/>
        <s v="Bệnh viện Đa Khoa Bắc Ninh Số 2"/>
        <s v="Bệnh viện Đa Khoa Hà Trung"/>
        <s v="Bệnh viện Đa Khoa Huyện Ba Vì"/>
        <s v="Bệnh viện Phạm Ngọc Thạch"/>
        <s v="Bệnh viện Việt Nam - Thụy Điển Uông Bí"/>
        <s v="Trung Tâm Y Tế Huyện Đầm Hà"/>
        <s v="Bệnh Viện Phụ Sản Trung Ương"/>
        <s v="Bệnh Viện Đa Khoa Huyện Phúc Thọ"/>
        <s v="Bệnh Viện Trung Ương Thái Nguyên"/>
        <s v="Bệnh Viện Phụ Sản Hà Nội"/>
        <s v="Trung Tâm Y Tế Huyện Hải Hà"/>
        <s v="Bệnh Viện Bắc Thăng Long"/>
        <s v="Trung Tâm Y Tế Thành Phố Dĩ An"/>
        <s v="Bệnh viện đa khoa Khu Vực Cù Lao Minh"/>
        <s v="Bệnh Viện Tâm Thần Mỹ Đức"/>
        <s v="Bệnh Viện Đa Khoa Đống Đa"/>
        <s v="Bệnh viện Tai Mũi Họng"/>
        <s v="Bệnh Viện Phổi Trung Ương"/>
        <s v="Bệnh Viện Tim Hà Nội"/>
        <s v="Bệnh viện đa khoa Khu Vực Củ Chi"/>
        <s v="Bệnh viện Nhi Trung ương"/>
        <s v="Viện Y học cổ truyền Quân đội"/>
        <s v="Bệnh viện đa khoa Phú Xuyên"/>
        <s v="Bệnh viện đa khoa tỉnh Phú Thọ"/>
        <s v="Bệnh viện quân y 120"/>
        <s v="Bệnh viện Vũng Tàu"/>
        <s v="Đại Học Y Dược Thành Phố Hồ Chí Minh"/>
        <s v="Trường Đại học Đà lạt"/>
        <s v="Trường Đại học Trà Vinh"/>
        <s v="TRUNG TÂM Y TẾ KHU VỰC CẦN GIỜ"/>
        <s v="Bệnh viện Nguyễn Trãi"/>
        <s v="Bệnh viện Từ Dũ"/>
        <s v="Bệnh Viện Quận Bình Tân"/>
        <s v="Bệnh viện Thể thao Việt Nam"/>
        <s v="Bệnh viện Điều dưỡng Phục hồi chức năng Trung ương"/>
        <s v="TRUNG TÂM Y TẾ KHU VỰC SÀI GÒN"/>
        <s v="Bệnh viện Bệnh Nhiệt đới Trung ương"/>
        <s v="Ban Quản lý dự án môi trường phóng xạ ven biển"/>
        <s v="Bệnh viện Công an Thành phổ Hồ Chí Minh"/>
        <s v="Trung tâm Y tế khu vực Phan Rang _ Tháp Chàm"/>
        <s v="Bệnh viện E"/>
        <s v="Bệnh viện đa khoa Đông Anh"/>
        <s v="Bệnh viện Trường Đại học Y Khoa Vinh"/>
        <s v="Bệnh viện Ung bướu Nghệ An"/>
        <s v="Bệnh viện Mắt"/>
        <s v="Bệnh viện đa khoa Chương Mỹ"/>
        <s v="BỆNH VIỆN ĐA KHOA TỈNH TUYÊN QUANG"/>
        <s v="Bệnh Viện Răng Hàm Mặt Thành Phố Hồ Chí Minh"/>
        <s v="Bệnh viện Đa khoa Khánh Hội"/>
        <s v="Bệnh viện Huyện Bình Chánh"/>
        <s v="Viện Y dược học dân tộc"/>
        <s v="BỆNH VIỆN CHẤN THƯƠNG CHỈNH HÌNH"/>
        <s v="Bệnh viện đa khoa Vĩnh Long"/>
        <s v="Bệnh viện đa khoa Hậu Giang"/>
        <s v="Bệnh viện An Bình"/>
        <s v="Bệnh viện Nhi Đồng 1"/>
      </sharedItems>
    </cacheField>
    <cacheField name="Hãng SX" numFmtId="0">
      <sharedItems containsBlank="1"/>
    </cacheField>
    <cacheField name="Tên mặt hàng dự thầu" numFmtId="0">
      <sharedItems containsBlank="1"/>
    </cacheField>
    <cacheField name="Sodel" numFmtId="0">
      <sharedItems count="17">
        <s v="Exeol OPA 5L"/>
        <s v="Exeol sept first 5L"/>
        <s v="Exeol sept 2E 1L"/>
        <s v="Exeol wipe optimal"/>
        <s v="Tỉnh MB"/>
        <s v="Exeol surf 30 1L"/>
        <s v="Exeol GTA 2% 5L"/>
        <s v="Không thầu"/>
        <s v="Exeol surf optimal 750ml"/>
        <s v="Exeol clean 4E 1L"/>
        <s v="Exeol clean 4E 5L"/>
        <s v="Exeol sept first 1L"/>
        <s v="Exeol sept 2E 5L"/>
        <s v="Rớt thầu"/>
        <s v="Trùng mã"/>
        <s v="Exeol OPA "/>
        <s v="Exeol surf 30 5L"/>
      </sharedItems>
    </cacheField>
    <cacheField name="Phân nhóm lớn sản phẩm trúng thầu" numFmtId="0">
      <sharedItems/>
    </cacheField>
    <cacheField name="Phân nhóm nhỏ sản phẩm trúng thầu" numFmtId="0">
      <sharedItems/>
    </cacheField>
    <cacheField name="Nhập khẩu/ Việt Nam" numFmtId="0">
      <sharedItems/>
    </cacheField>
    <cacheField name="Dung tích" numFmtId="0">
      <sharedItems containsMixedTypes="1" containsNumber="1" containsInteger="1" minValue="1" maxValue="5000"/>
    </cacheField>
    <cacheField name=" Số lượng trúng thầu " numFmtId="0">
      <sharedItems containsSemiMixedTypes="0" containsString="0" containsNumber="1" containsInteger="1" minValue="1" maxValue="765000"/>
    </cacheField>
    <cacheField name="  Đơn giá trúng thầu  " numFmtId="0">
      <sharedItems containsString="0" containsBlank="1" containsNumber="1" containsInteger="1" minValue="290" maxValue="3312000"/>
    </cacheField>
    <cacheField name="Pháp nhân bán hàng" numFmtId="0">
      <sharedItems containsBlank="1" count="6">
        <s v="Hào Tín"/>
        <s v="SPC"/>
        <m/>
        <s v="Phương Nam"/>
        <s v="Miền Tây"/>
        <s v="Không thầu"/>
      </sharedItems>
    </cacheField>
    <cacheField name="Đơn giá Sodel" numFmtId="0">
      <sharedItems containsString="0" containsBlank="1" containsNumber="1" containsInteger="1" minValue="260" maxValue="2450000"/>
    </cacheField>
    <cacheField name="   Giá trị trúng thầu   " numFmtId="0">
      <sharedItems containsString="0" containsBlank="1" containsNumber="1" containsInteger="1" minValue="480000" maxValue="1584000000"/>
    </cacheField>
    <cacheField name="Giá trị trúng thầu (chưa VAT) SODEL" numFmtId="164">
      <sharedItems containsSemiMixedTypes="0" containsString="0" containsNumber="1" containsInteger="1" minValue="0" maxValue="1060000000"/>
    </cacheField>
    <cacheField name="Tỷ lệ_x000a_trúng thầu" numFmtId="0">
      <sharedItems containsString="0" containsBlank="1" containsNumber="1" minValue="0" maxValue="1"/>
    </cacheField>
    <cacheField name="Cấu hình trúng thầu" numFmtId="0">
      <sharedItems containsBlank="1" longText="1"/>
    </cacheField>
    <cacheField name="Số tháng phát sinh" numFmtId="0">
      <sharedItems containsSemiMixedTypes="0" containsString="0" containsNumber="1" containsInteger="1" minValue="3" maxValue="12"/>
    </cacheField>
    <cacheField name="Doanh thu ước tính" numFmtId="164">
      <sharedItems containsSemiMixedTypes="0" containsString="0" containsNumber="1" minValue="0" maxValue="686000000"/>
    </cacheField>
    <cacheField name="CPK" numFmtId="0">
      <sharedItems containsString="0" containsBlank="1" containsNumber="1" minValue="0" maxValue="0.1"/>
    </cacheField>
    <cacheField name="%Margin" numFmtId="0">
      <sharedItems containsString="0" containsBlank="1" containsNumber="1" minValue="0.17750119047619031" maxValue="0.5648083333333333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n v="4"/>
    <n v="2025"/>
    <s v="KSNK"/>
    <s v="MN"/>
    <s v="Huỳnh Thị Thùy Linh"/>
    <s v="IB2400555229"/>
    <x v="0"/>
    <s v="Zhivas"/>
    <s v="Zhivasept Opa"/>
    <x v="0"/>
    <s v="Xử lý dụng cụ"/>
    <s v="KK mức độ cao"/>
    <s v="Nhập khẩu"/>
    <n v="5000"/>
    <n v="100"/>
    <n v="950000"/>
    <x v="0"/>
    <n v="714000"/>
    <n v="95000000"/>
    <n v="71400000"/>
    <n v="0.09"/>
    <s v="Dung dịch khử khuẩn dụng cụ Ortho- Phthalaldehyde 0,55%_x000a_- Thành phần chính: Ortho-phthalaldehyde 0,55%; pH = 65 - 85, dung dịch pha sẵn (không cần hoạt hóa)_x000a_- Khử khuẩn mức độ cao trong 5 phút các dụng cụ nội khoa, ngoại khoa, dụng cụ nội soi và dụng cụ không chịu nhiệt_x000a_- Không mùi, không gây ăn mòn dụng cụ_x000a_- Phổ diệt khuẩn rộng: diệt khuẩn EN 14561, diệt nấm EN 14562, diệt virus EN 14476, diệt vi khuẩn lao EN 14563_x000a_- Tái sử dụng trong 14 ngày (tặng kèm test thử để kiểm tra nồng độ OPA)_x000a_- Quy cách: Can 5 lít_x000a_Tiêu chuẩn chất lượng ISO 13485:2016, CE"/>
    <n v="11"/>
    <n v="65450000"/>
    <n v="0"/>
    <n v="0.31618907563025211"/>
  </r>
  <r>
    <n v="4"/>
    <n v="2025"/>
    <s v="KSNK"/>
    <s v="MN"/>
    <s v="Huỳnh Thị Thùy Linh"/>
    <s v="IB2400555229"/>
    <x v="0"/>
    <s v="Anios"/>
    <s v="Anios’Clean Excel D"/>
    <x v="1"/>
    <s v="Xử lý dụng cụ"/>
    <s v="Làm sạch và tiền KK"/>
    <s v="Nhập khẩu"/>
    <n v="5000"/>
    <n v="80"/>
    <n v="1640000"/>
    <x v="0"/>
    <n v="1218000"/>
    <n v="131200000"/>
    <n v="97440000"/>
    <n v="0.13"/>
    <s v="1 Thành phần: 6,5% Didecyldimethyl ammonium chloride + 0,074% Chlorhexidine digluconate, chất hoạt động bề mặt non-ionic_x000a_2 Làm sạch và khử khuẩn dụng cụ y tế_x000a_Nồng độ sử dụng 05% (25ml trong 5 lít nước)_x000a_pH = 66 - 76_x000a_Thời gian tiếp xúc: từ 5 phút_x000a_Quy cách: Can 5 lít_x000a_3 Hiệu quả diệt khuẩn_x000a_- Diệt khuẩn EN 14561_x000a_- Diệt nấm EN 14562_x000a_- Diệt vi khuẩn lao EN 14563_x000a_- Diệt virus Vaccinia EN 17111_x000a_4 Đạt tiêu chuẩn CE, ISO 13485, ISO 9001"/>
    <n v="11"/>
    <n v="89320000"/>
    <n v="0"/>
    <n v="0.49399014778325123"/>
  </r>
  <r>
    <n v="4"/>
    <n v="2025"/>
    <s v="KSNK"/>
    <s v="MN"/>
    <s v="Nguyễn Thái Hằng"/>
    <s v="IB2400542262"/>
    <x v="1"/>
    <s v="Anios"/>
    <s v="Aniosyme X3"/>
    <x v="2"/>
    <s v="Xử lý dụng cụ"/>
    <s v="Làm sạch và tiền KK"/>
    <s v="Nhập khẩu"/>
    <n v="1000"/>
    <n v="17"/>
    <n v="595000"/>
    <x v="1"/>
    <n v="530000"/>
    <n v="10115000"/>
    <n v="9010000"/>
    <n v="0.11"/>
    <s v="14% N,N-Didecyl-N-Methyl-poly(oxyethyl)ammonium propionate + 0,3% Chlorhexidine digluconate Hỗn hợp 3 enzym: protease, lipase và amylase Tiêu chuẩn ISO/TS 15883-5:2005EN 14561, EN 14476"/>
    <n v="11"/>
    <n v="8259166.666666667"/>
    <n v="0.1"/>
    <n v="0.41266981132075475"/>
  </r>
  <r>
    <n v="4"/>
    <n v="2025"/>
    <s v="KSNK"/>
    <s v="MN"/>
    <s v="Nguyễn Thái Hằng"/>
    <s v="IB2400542262"/>
    <x v="1"/>
    <s v="Anios"/>
    <s v="Wip'Anios Excel"/>
    <x v="3"/>
    <s v="Xử lý bề mặt"/>
    <s v="Khăn lau"/>
    <s v="Nhập khẩu"/>
    <n v="100"/>
    <n v="100"/>
    <n v="290000"/>
    <x v="1"/>
    <n v="245000"/>
    <n v="29000000"/>
    <n v="24500000"/>
    <n v="0.31"/>
    <s v="Khăn tẩm dung dịch Didecyldimethyl ammonium chloride 03% và không chứa cồn_x000a_Làm sạch &amp; khử khuẩn bề mặt, lau sơ bộ ống nội soi trước khi ngâm làm sạch và khử khuẩn_x000a_Phân hủy vi sinh 100%_x000a_Đạt tiêu chuẩn EN 16615_x000a_Thời gian tiếp xúc: từ 2 phút_x000a_Diệt virus theo tiêu chuẩn EN 14476_x000a_Ổn định trong 3 tháng kể từ ngày mở túi"/>
    <n v="11"/>
    <n v="22458333.333333332"/>
    <n v="0.1"/>
    <n v="0.36423428571428568"/>
  </r>
  <r>
    <n v="4"/>
    <n v="2025"/>
    <s v="KSNK"/>
    <s v="MB"/>
    <s v="Phạm Thị Huyền Châm"/>
    <s v="IB2500104161"/>
    <x v="2"/>
    <s v="Anios"/>
    <s v="Steranios 2%"/>
    <x v="4"/>
    <s v="Xử lý dụng cụ"/>
    <s v="KK mức độ cao"/>
    <s v="Nhập khẩu"/>
    <n v="5000"/>
    <n v="30"/>
    <n v="540750"/>
    <x v="2"/>
    <m/>
    <n v="16222500"/>
    <n v="0"/>
    <n v="0.13"/>
    <s v="1 Thành phần: 2% Glutaraldehyde_x000a_2 không cần hoạt hóa, pH=6_x000a_Khử khuẩn mức độ cao: 10 phút_x000a_Tái sử dụng trong 30 ngày (tặng kèm test thử)"/>
    <n v="11"/>
    <n v="0"/>
    <m/>
    <m/>
  </r>
  <r>
    <n v="4"/>
    <n v="2025"/>
    <s v="KSNK"/>
    <s v="MB"/>
    <s v="Phạm Thị Huyền Châm"/>
    <s v="IB2500104161"/>
    <x v="2"/>
    <s v="Asp"/>
    <s v="Cidex Opa"/>
    <x v="4"/>
    <s v="Xử lý dụng cụ"/>
    <s v="KK mức độ cao"/>
    <s v="Nhập khẩu"/>
    <n v="3780"/>
    <n v="45"/>
    <n v="1102500"/>
    <x v="2"/>
    <m/>
    <n v="49612500"/>
    <n v="0"/>
    <n v="0.41"/>
    <s v="Dung dịch khử khuẩn mức độ cao,_x000a_thành phần ORTHO-PHTHALADEHYDE 0,55%, Benzotriazole 0,01% và các thành phần khác, pH 72 - 78, can 3,78 lít, có que thử_x000a_- Đạt các tiêu chuẩn: EC, ISO 13485, CFS"/>
    <n v="11"/>
    <n v="0"/>
    <m/>
    <m/>
  </r>
  <r>
    <n v="4"/>
    <n v="2025"/>
    <s v="KSNK"/>
    <s v="MB"/>
    <s v="Phạm Thị Huyền Châm"/>
    <s v="IB2500104161"/>
    <x v="2"/>
    <s v="Asp"/>
    <s v="Cidezyme"/>
    <x v="4"/>
    <s v="Xử lý dụng cụ"/>
    <s v="Làm sạch và tiền KK"/>
    <s v="Nhập khẩu"/>
    <n v="1000"/>
    <n v="30"/>
    <n v="701400"/>
    <x v="2"/>
    <m/>
    <n v="21042000"/>
    <n v="0"/>
    <n v="0.17"/>
    <s v="Dung dịch ngâm tẩy rửa dụng cụ y tế hoạt tính enzyme, hiệu quả nhanh sau 1 phút ít bọt,  pH trung tính: 78-88, không gây ăn mòn dụng cụ_x000a_-Thành phần: protease subtilisin 0,5%, chất hoạt động bề mặt lưỡng tính an amphoteric surfactant,chất ổn định chống ăn mòn stabilizers và các thành phần khác_x000a_- Đạt các tiêu chuẩn : EC, ISO, CFS"/>
    <n v="11"/>
    <n v="0"/>
    <m/>
    <m/>
  </r>
  <r>
    <n v="5"/>
    <n v="2025"/>
    <s v="KSNK"/>
    <s v="MB"/>
    <s v="Hứa Thùy Linh"/>
    <s v="IB2500081754"/>
    <x v="3"/>
    <s v="Zhivas"/>
    <s v="Zhivasept Opa"/>
    <x v="0"/>
    <s v="Xử lý dụng cụ"/>
    <s v="KK mức độ cao"/>
    <s v="Nhập khẩu"/>
    <n v="5000"/>
    <n v="600"/>
    <n v="850000"/>
    <x v="3"/>
    <n v="714000"/>
    <n v="510000000"/>
    <n v="428400000"/>
    <n v="1"/>
    <s v="Thành phần: ≥ 0,55% Ortho- Phthalaldehyde, pH=7-7,8, dung dịch sẵn sàng sử dụng (không cần hoạt hóa)._x000a_Thời gian ngâm khử khuẩn ≤ 5 phút (ngâm ngập dụng cụ theo phương pháp ngâm thủ công)._x000a_Tái sử dụng trong 14 ngày có kèm test thử để kiểm tra nồng độ._x000a_Đạt tiêu chuẩn ISO 13485:2016, chứng nhận CE_x000a_Có tối thiểu 01 CFS thuộc G7, Châu Âu hoặc Úc._x000a_Can 5 lít"/>
    <n v="10"/>
    <n v="357000000"/>
    <n v="0"/>
    <n v="0.31618907563025211"/>
  </r>
  <r>
    <n v="5"/>
    <n v="2025"/>
    <s v="KSNK"/>
    <s v="MN"/>
    <s v="Huỳnh Thị Thùy Linh"/>
    <s v="IB2500091193"/>
    <x v="4"/>
    <s v="Anios"/>
    <s v="Aniospray Surf 29"/>
    <x v="5"/>
    <s v="Xử lý bề mặt"/>
    <s v="Phun tay"/>
    <s v="Nhập khẩu"/>
    <n v="1000"/>
    <n v="300"/>
    <n v="290000"/>
    <x v="1"/>
    <n v="260000"/>
    <n v="87000000"/>
    <n v="78000000"/>
    <n v="1"/>
    <s v="1 Thành phần: 0,05% Didecyldimethyl ammonium chloride + 0,06% Chlorhexidine digluconate kết hợp 22,57% Ethanol_x000a_2 Khử khuẩn nhanh các bề mặt_x000a_3 Hiệu quả diệt khuẩn, diệt nấm theo EN 13697_x000a_Diệt virus (PRV, BVDV, HSV 1) từ 1 phút_x000a_- Xuất xứ: Pháp_x000a_4 Đạt tiêu chuẩn CE, ISO 13485, ISO 9001"/>
    <n v="10"/>
    <n v="65000000"/>
    <n v="0.1"/>
    <n v="0.39375923076923069"/>
  </r>
  <r>
    <n v="5"/>
    <n v="2025"/>
    <s v="KSNK"/>
    <s v="MB"/>
    <s v="Nghiêm Thị Quỳnh Hương"/>
    <s v="IB2500098500"/>
    <x v="5"/>
    <s v="Anios"/>
    <s v="Opaster'Anios"/>
    <x v="0"/>
    <s v="Xử lý dụng cụ"/>
    <s v="KK mức độ cao"/>
    <s v="Nhập khẩu"/>
    <n v="5000"/>
    <n v="50"/>
    <n v="1050000"/>
    <x v="1"/>
    <n v="980000"/>
    <n v="52500000"/>
    <n v="49000000"/>
    <n v="0.09"/>
    <s v="0,55% Ortho- Phthalaldehyde, pH=7  pha sẵn khử khuẩn mức độ cao dụng cụ nội soi và dụng cụ không chịu nhiệt. Không mùi, không hoạt hóa. pH = 7."/>
    <n v="10"/>
    <n v="40833333.333333336"/>
    <n v="0.1"/>
    <n v="0.37779489795918364"/>
  </r>
  <r>
    <n v="5"/>
    <n v="2025"/>
    <s v="KSNK"/>
    <s v="MB"/>
    <s v="Nghiêm Thị Quỳnh Hương"/>
    <s v="IB2500098500"/>
    <x v="5"/>
    <s v="Anios"/>
    <s v="Steranios 2%"/>
    <x v="6"/>
    <s v="Xử lý dụng cụ"/>
    <s v="KK mức độ cao"/>
    <s v="Nhập khẩu"/>
    <n v="5000"/>
    <n v="73"/>
    <n v="417000"/>
    <x v="1"/>
    <n v="428925"/>
    <n v="30441000"/>
    <n v="31311525"/>
    <n v="0.05"/>
    <s v="2% Glutaraldehyde, pH=6  khử khuẩn mức độ cao dụng cụ nội soi và các dụng cụ không chịu nhiệt. Dung dịch pha sẵn không cần hoạt hóa. pH = 6. Diệt khuẩn theo tiêu chuẩn EN 14561, diệt nấm theo tiêu chuẩn EN 14562, diệt virus theo tiêu chuẩn EN 14476 +A1 và diệt Mycobacteria"/>
    <n v="10"/>
    <n v="26092937.5"/>
    <n v="0.1"/>
    <n v="0.42921559713236579"/>
  </r>
  <r>
    <n v="5"/>
    <n v="2025"/>
    <s v="KSNK"/>
    <s v="MB"/>
    <s v="Nghiêm Thị Quỳnh Hương"/>
    <s v="IB2500098500"/>
    <x v="5"/>
    <s v="Dr.Weigert"/>
    <s v="Neodisher Septo Active"/>
    <x v="7"/>
    <s v="Xử lý dụng cụ"/>
    <s v="KK mức độ cao"/>
    <s v="Nhập khẩu"/>
    <s v="2kg"/>
    <n v="30"/>
    <n v="2520000"/>
    <x v="2"/>
    <m/>
    <n v="75600000"/>
    <n v="0"/>
    <n v="0.13"/>
    <s v="Thành phần: Dung dịch 1% chứa 0.15% peracetic acid; &lt;5% phosphates, chất hoạt động bề mặt không ion, &gt;30% chất tẩy trắng gốc oxy"/>
    <n v="10"/>
    <n v="0"/>
    <m/>
    <m/>
  </r>
  <r>
    <n v="5"/>
    <n v="2025"/>
    <s v="KSNK"/>
    <s v="MB"/>
    <s v="Nguyễn Thị Tình"/>
    <s v="IB2500102626"/>
    <x v="6"/>
    <s v="Anios"/>
    <s v="Aniosyme Synergy 5"/>
    <x v="4"/>
    <s v="Xử lý dụng cụ"/>
    <s v="Làm sạch và tiền KK"/>
    <s v="Nhập khẩu"/>
    <n v="1000"/>
    <n v="100"/>
    <n v="457000"/>
    <x v="2"/>
    <m/>
    <n v="45700000"/>
    <n v="0"/>
    <n v="0.09"/>
    <s v=" "/>
    <n v="10"/>
    <n v="0"/>
    <m/>
    <m/>
  </r>
  <r>
    <n v="5"/>
    <n v="2025"/>
    <s v="KSNK"/>
    <s v="MB"/>
    <s v="Hứa Thùy Linh"/>
    <s v="IB2500182829"/>
    <x v="7"/>
    <s v="Anios"/>
    <s v="Steranios 2%"/>
    <x v="4"/>
    <s v="Xử lý dụng cụ"/>
    <s v="KK mức độ cao"/>
    <s v="Nhập khẩu"/>
    <n v="5000"/>
    <n v="10"/>
    <n v="493500"/>
    <x v="2"/>
    <m/>
    <n v="4935000"/>
    <n v="0"/>
    <n v="0.21"/>
    <s v="Dung dịch trong suốt, khử khuẩn mức độ cao dụng cụ nội soi, và các dụng cụ không chịu nhiệt._x000a_Thành phần: 2% Glutaraldehyde với dung dịch đệm pH6_x000a_Quy cách: Can 5Lit"/>
    <n v="10"/>
    <n v="0"/>
    <m/>
    <m/>
  </r>
  <r>
    <n v="6"/>
    <n v="2025"/>
    <s v="KSNK"/>
    <s v="MN"/>
    <s v="Nguyễn Thị Xuân Hồng"/>
    <s v="IB2500074073"/>
    <x v="8"/>
    <s v="Anios"/>
    <s v="Surfa'Safe Premium"/>
    <x v="8"/>
    <s v="Xử lý bề mặt"/>
    <s v="Phun tay"/>
    <s v="Nhập khẩu"/>
    <n v="750"/>
    <n v="200"/>
    <n v="415000"/>
    <x v="1"/>
    <n v="360000"/>
    <n v="83000000"/>
    <n v="72000000"/>
    <n v="0.23"/>
    <s v="1. Thành phần: 0.3% Didecyldimethyl ammonium chloride, chất HĐBM, không chứa cồn_x000a_2. Làm sạch và khử khuẩn bề mặt trang thiết bị y tế._x000a_Tương thích với Polycarbonate, plexiglas._x000a_Dung dịch không mùi, không chứ cồn_x000a_Thời gian tiếp xúc: từ 2 phút_x000a_3. Hiệu quả diệt khuẩn Staphylococcus aureus, Pseudomonas aeruginosa, Candida albicans sau 2 phút tiếp xúc_x000a_Đạt tiêu chuẩn EN 13727, EN13624, EN13697 đánh giá hiệu quả dùng trong y tế._x000a_Thể tích đóng gói: Chai 750ml. Đầu phun tạo bọt."/>
    <n v="9"/>
    <n v="54000000"/>
    <n v="0.1"/>
    <n v="0.56480833333333336"/>
  </r>
  <r>
    <n v="6"/>
    <n v="2025"/>
    <s v="KSNK"/>
    <s v="MN"/>
    <s v="Nguyễn Thị Xuân Hồng"/>
    <s v="IB2500074073"/>
    <x v="8"/>
    <s v="Anios"/>
    <s v="Aniospray Surf 29"/>
    <x v="5"/>
    <s v="Xử lý bề mặt"/>
    <s v="Phun tay"/>
    <s v="Nhập khẩu"/>
    <n v="1000"/>
    <n v="500"/>
    <n v="290000"/>
    <x v="1"/>
    <n v="260000"/>
    <n v="145000000"/>
    <n v="130000000"/>
    <n v="0.41"/>
    <s v="1. Thành phần: 0,05% Didecyldimethyl ammonium chloride + 0,06% Chlorhexidine digluconate kết hợp 22,57% Ethanol_x000a_Thể tích: chai 1 lít_x000a_2. Khử khuẩn nhanh các bề mặt_x000a_3. Hiệu quả diệt khuẩn, diệt nấm theo EN 13697 đối với diệt khuẩn (kể cả vi khuẩn đa kháng như Acinetobacter baumanni), diệt nấm (Candida albicans, Candida auris)_x000a_Diệt virus (PRV, BVDV, HSV 1...) theo tiêu chuẩn EN 14476 từ 1 phút_x000a_Cách dùng: phun xịt bề mặt và lau, thể tích đóng gói 1000ml."/>
    <n v="9"/>
    <n v="97500000"/>
    <n v="0.1"/>
    <n v="0.39375923076923069"/>
  </r>
  <r>
    <n v="6"/>
    <n v="2025"/>
    <s v="KSNK"/>
    <s v="MB"/>
    <s v="Nguyễn Thị Tình"/>
    <s v="IB2500283757"/>
    <x v="9"/>
    <s v="Asp"/>
    <s v="Cidezyme"/>
    <x v="4"/>
    <s v="Xử lý dụng cụ"/>
    <s v="Làm sạch và tiền KK"/>
    <s v="Nhập khẩu"/>
    <n v="1000"/>
    <n v="2"/>
    <n v="617571"/>
    <x v="2"/>
    <m/>
    <n v="1235142"/>
    <n v="0"/>
    <n v="0.21"/>
    <s v="-Dung dịch ngâm tẩy rửa dụng cụ y tế hoạt tính enzyme, thành phần: protease subtilisin 0,5%, hiệu quả nhanh sau 1 phút._x000a_- ít bọt,  pH trung tính: 7.8-8.8 ngăn không để lại tồn lưu, giúp dụng cụ được khử khuẩn hiệu quả, hương bạc hà dễ chịu, át được mùi của dụng cụ bẩn, không gây ăn mòn dụng cụ_x000a_- Đi sâu và làm sạch  các vị trí khó tiếp cận như các khe ống nội soi, đổng thời làm sạch hiệu quả các chất béo và mỡ._x000a_- Tương thích với nhiều loại dụng cụ vật liệu phi kim loại như silicone, E® Cao su EPDM, PTFE, polyurethane, cao su viton và các vật liệu kim loại như thép không gỉ E® thép 304-2B, thép không gỉ 410, thép không gỉ 420 và nhôm anodized._x000a_- Đạt các tiêu chuẩn : EC, ISO, CFS"/>
    <n v="9"/>
    <n v="0"/>
    <m/>
    <m/>
  </r>
  <r>
    <n v="6"/>
    <n v="2025"/>
    <s v="KSNK"/>
    <s v="MN"/>
    <s v="Huỳnh Thị Thùy Linh"/>
    <s v="IB2500005654"/>
    <x v="10"/>
    <s v="Anios"/>
    <s v="Anios’Clean Excel D"/>
    <x v="1"/>
    <s v="Xử lý dụng cụ"/>
    <s v="Làm sạch và tiền KK"/>
    <s v="Nhập khẩu"/>
    <n v="5000"/>
    <n v="110"/>
    <n v="1610000"/>
    <x v="1"/>
    <n v="1450000"/>
    <n v="177100000"/>
    <n v="159500000"/>
    <n v="0.11"/>
    <s v="1. Thành phần: 6,5% Didecyldimethyl ammonium chloride + 0,074% Chlorhexidine digluconate, chất hoạt động bề mặt non-ionic._x000a_2. Làm sạch và khử khuẩn dụng cụ y tế._x000a_Nồng độ sử dụng 0.5% (25ml trong 5 lít nước)_x000a_pH = 6.6 - 7.6_x000a_Thời gian tiếp xúc: từ 5 phút_x000a_Can 5L với vòi bơm 25ml_x000a_3. Hiệu quả diệt khuẩn_x000a_- Diệt khuẩn theo EN 14561 (Pseudomonas aeruginosa, Staphylococcus aureus, Enterococcus hirae...) thử nghiệm với nước cứng_x000a_- Diệt các chủng vi khuẩn đa kháng như MRSA, ESBL, VRE theo EN 13727_x000a_- Diệt virus HIV-1, HBV, HCV, HSV theo EN 14476_x000a_4. Đạt tiêu chuẩn: ISO 15883 (ngăn hình thành màng Biofilm)_x000a_5. Đạt tiêu chuẩn CE, ISO 13485_x000a_6. Cấp phép lưu hành theo qui định của Bộ Y tế/ Giấy chứng nhận đăng ký lưu hành chế phẩm diệt côn trùng, diệt khuẩn dùng trong lĩnh vực gia dụng và y tế"/>
    <n v="9"/>
    <n v="119625000"/>
    <n v="0.1"/>
    <n v="0.45095172413793105"/>
  </r>
  <r>
    <n v="6"/>
    <n v="2025"/>
    <s v="KSNK"/>
    <s v="MB"/>
    <s v="Hứa Thùy Linh"/>
    <s v="IB2500176766"/>
    <x v="11"/>
    <s v="Anios"/>
    <s v="Steranios 2%"/>
    <x v="4"/>
    <s v="Xử lý dụng cụ"/>
    <s v="KK mức độ cao"/>
    <s v="Nhập khẩu"/>
    <n v="5000"/>
    <n v="17"/>
    <n v="345000"/>
    <x v="2"/>
    <m/>
    <n v="5865000"/>
    <n v="0"/>
    <n v="0.06"/>
    <s v="2% Glutaraldehyde, pH=6  khử khuẩn mức độ cao dụng cụ nội soi và các dụng cụ không chịu nhiệt Dung dịch pha sẵn không cần hoạt hóa pH = 6 Diệt khuẩn theo tiêu chuẩn EN 14561, diệt nấm theo tiêu chuẩn EN 14562, diệt virus theo tiêu chuẩn EN 14476 +A1 và diệt MycobacteriaL"/>
    <n v="9"/>
    <n v="0"/>
    <m/>
    <m/>
  </r>
  <r>
    <n v="6"/>
    <n v="2025"/>
    <s v="KSNK"/>
    <s v="MB"/>
    <s v="Hứa Thùy Linh"/>
    <s v="IB2500176766"/>
    <x v="11"/>
    <s v="Anios"/>
    <s v="Opaster'Anios"/>
    <x v="4"/>
    <s v="Xử lý dụng cụ"/>
    <s v="KK mức độ cao"/>
    <s v="Nhập khẩu"/>
    <n v="5000"/>
    <n v="5"/>
    <n v="1025000"/>
    <x v="2"/>
    <m/>
    <n v="5125000"/>
    <n v="0"/>
    <n v="0.05"/>
    <s v="Thành phần: 0,55% Ortho- Phthalaldehyde, pH ≥7, dung dịch sẵn sàng sử dụng (không cần hoạt hóa) Khử khuẩn mức độ cao trong 5 phút Đạt tiêu chuẩn diệt khuẩn EN 14561, EN 14562, EN 17111 và EN 14563"/>
    <n v="9"/>
    <n v="0"/>
    <m/>
    <m/>
  </r>
  <r>
    <n v="6"/>
    <n v="2025"/>
    <s v="KSNK"/>
    <s v="MB"/>
    <s v="Hứa Thùy Linh"/>
    <s v="IB2500200528"/>
    <x v="12"/>
    <s v="Anios"/>
    <s v="Anios’Clean Excel D"/>
    <x v="4"/>
    <s v="Xử lý dụng cụ"/>
    <s v="Làm sạch và tiền KK"/>
    <s v="Nhập khẩu"/>
    <n v="1000"/>
    <n v="50"/>
    <n v="469000"/>
    <x v="2"/>
    <m/>
    <n v="23450000"/>
    <n v="0"/>
    <n v="0.66"/>
    <s v=" "/>
    <n v="9"/>
    <n v="0"/>
    <m/>
    <m/>
  </r>
  <r>
    <n v="6"/>
    <n v="2025"/>
    <s v="KSNK"/>
    <s v="MB"/>
    <s v="Hứa Thùy Linh"/>
    <s v="IB2500200528"/>
    <x v="12"/>
    <s v="Anios"/>
    <s v="Steranios 2%"/>
    <x v="4"/>
    <s v="Xử lý dụng cụ"/>
    <s v="KK mức độ cao"/>
    <s v="Nhập khẩu"/>
    <n v="5000"/>
    <n v="20"/>
    <n v="600000"/>
    <x v="2"/>
    <m/>
    <n v="12000000"/>
    <n v="0"/>
    <n v="0.34"/>
    <s v=" "/>
    <n v="9"/>
    <n v="0"/>
    <m/>
    <m/>
  </r>
  <r>
    <n v="6"/>
    <n v="2025"/>
    <s v="KSNK"/>
    <s v="MB"/>
    <s v="Hứa Thùy Linh"/>
    <s v="IB2500269774"/>
    <x v="13"/>
    <s v="Anios"/>
    <s v="Anios’Clean Excel D"/>
    <x v="4"/>
    <s v="Xử lý dụng cụ"/>
    <s v="Làm sạch và tiền KK"/>
    <s v="Nhập khẩu"/>
    <n v="1000"/>
    <n v="1"/>
    <n v="480000"/>
    <x v="2"/>
    <m/>
    <n v="480000"/>
    <n v="0"/>
    <n v="0.02"/>
    <s v=" "/>
    <n v="9"/>
    <n v="0"/>
    <m/>
    <m/>
  </r>
  <r>
    <n v="6"/>
    <n v="2025"/>
    <s v="KSNK"/>
    <s v="MB"/>
    <s v="Hứa Thùy Linh"/>
    <s v="IB2500180522"/>
    <x v="14"/>
    <s v="Metrex"/>
    <s v="MetriCide OPA Plus"/>
    <x v="4"/>
    <s v="Xử lý dụng cụ"/>
    <s v="KK mức độ cao"/>
    <s v="Nhập khẩu"/>
    <n v="3800"/>
    <n v="4"/>
    <n v="1100000"/>
    <x v="2"/>
    <m/>
    <n v="4400000"/>
    <n v="0"/>
    <n v="0.23"/>
    <s v="Thành phần: Ortho-phthalaldehyde 0.60%, có thể tái xử lý thủ công đến 30 ngày._x000a_Thời gian diệt khuẩn: 05 phút xử lý dụng cụ nội soi tự động (AER)_x000a_Không làm mờ thấu kính của ống soi. Tương thích tối thiểu các vật liệu như: kim loại, nhựa, chất đàn hồi, chất keo dính. Có cung cấp que thử kèm theo. Đóng gói: Can từ 3.8 lít"/>
    <n v="9"/>
    <n v="0"/>
    <m/>
    <m/>
  </r>
  <r>
    <n v="6"/>
    <n v="2025"/>
    <s v="KSNK"/>
    <s v="MB"/>
    <s v="Nghiêm Thị Quỳnh Hương"/>
    <s v="IB2500144187"/>
    <x v="15"/>
    <s v="Anios"/>
    <s v="Opaster'Anios"/>
    <x v="4"/>
    <s v="Xử lý dụng cụ"/>
    <s v="KK mức độ cao"/>
    <s v="Nhập khẩu"/>
    <n v="5000"/>
    <n v="80"/>
    <n v="1136000"/>
    <x v="2"/>
    <m/>
    <n v="90880000"/>
    <n v="0"/>
    <n v="0.35"/>
    <s v="Thành phần: 0,55% Ortho- Phthalaldehyde, pH=7, dung dịch sẵn sàng sử dụng (không cần hoạt hóa)._x000a_Khử khuẩn mức độ cao trong 5 phút._x000a_Đạt tiêu chuẩn diệt khuẩn EN 14561, EN 14562, EN 17111 và EN 14563._x000a_Tái sử dụng trong 14 ngày (tặng kèm test thử để kiểm tra nồng độ OPA)._x000a_Thời gian bảo quản dung dịch trong can sau khi mở nắp đến 3 năm._x000a_Tương thích với ống nội soi hãng Olympus...Đạt tiêu chuẩn EC."/>
    <n v="9"/>
    <n v="0"/>
    <m/>
    <m/>
  </r>
  <r>
    <n v="7"/>
    <n v="2025"/>
    <s v="KSNK"/>
    <s v="MB"/>
    <s v="Phạm Thị Huyền Châm"/>
    <s v="IB2500261709"/>
    <x v="16"/>
    <s v="Asp"/>
    <s v="Cidezyme"/>
    <x v="9"/>
    <s v="Xử lý dụng cụ"/>
    <s v="Làm sạch và tiền KK"/>
    <s v="Nhập khẩu"/>
    <n v="1000"/>
    <n v="135"/>
    <n v="651000"/>
    <x v="1"/>
    <n v="440000"/>
    <n v="87885000"/>
    <n v="59400000"/>
    <n v="0.22"/>
    <s v="-Dung dịch ngâm tẩy rửa dụng cụ hoạt tính enzyme, hiệu quả nhanh sau 1 phút. - Thành phần: protease subtilisin 0,5% - pH trung tính không gây ăn mòn dụng cụ - Tương thích với nhiều loại dụng cụ: Silicone, cao su, PTFE, polyurethane, kim loại,…"/>
    <n v="8"/>
    <n v="39600000"/>
    <n v="0.1"/>
    <n v="0.40493249999999992"/>
  </r>
  <r>
    <n v="7"/>
    <n v="2025"/>
    <s v="KSNK"/>
    <s v="MB"/>
    <s v="Phạm Thị Huyền Châm"/>
    <s v="IB2500261709"/>
    <x v="16"/>
    <s v="Dr.Weigert"/>
    <s v="Neodisher MediClean Forte"/>
    <x v="9"/>
    <s v="Xử lý dụng cụ"/>
    <s v="Làm sạch và tiền KK"/>
    <s v="Nhập khẩu"/>
    <n v="1000"/>
    <n v="660"/>
    <n v="465000"/>
    <x v="1"/>
    <n v="440000"/>
    <n v="306900000"/>
    <n v="290400000"/>
    <n v="0.78"/>
    <s v="Chi tiết theo bản chào kỹ thuật"/>
    <n v="8"/>
    <n v="193600000"/>
    <n v="0.1"/>
    <n v="0.40493249999999992"/>
  </r>
  <r>
    <n v="7"/>
    <n v="2025"/>
    <s v="KSNK"/>
    <s v="MN"/>
    <s v="Nguyễn Thị Kim Ngọc"/>
    <s v="IB2500081127"/>
    <x v="17"/>
    <s v="Anios"/>
    <s v="Opaster'Anios"/>
    <x v="0"/>
    <s v="Xử lý dụng cụ"/>
    <s v="KK mức độ cao"/>
    <s v="Nhập khẩu"/>
    <n v="5000"/>
    <n v="500"/>
    <n v="1082025"/>
    <x v="4"/>
    <n v="714000"/>
    <n v="541012500"/>
    <n v="357000000"/>
    <n v="0.33"/>
    <s v="Xin xem Bảng danh mục hàng hóa dự thầu"/>
    <n v="8"/>
    <n v="238000000"/>
    <n v="0"/>
    <n v="0.31618907563025211"/>
  </r>
  <r>
    <n v="7"/>
    <n v="2025"/>
    <s v="KSNK"/>
    <s v="MN"/>
    <s v="Nguyễn Thị Kim Ngọc"/>
    <s v="IB2500081127"/>
    <x v="17"/>
    <s v="Anios"/>
    <s v="Aniosyme Synergy 5"/>
    <x v="10"/>
    <s v="Xử lý dụng cụ"/>
    <s v="Làm sạch và tiền KK"/>
    <s v="Nhập khẩu"/>
    <n v="5000"/>
    <n v="60"/>
    <n v="2173500"/>
    <x v="4"/>
    <n v="1260000"/>
    <n v="130410000"/>
    <n v="75600000"/>
    <n v="0.08"/>
    <s v="Xin xem Bảng danh mục hàng hóa dự thầu"/>
    <n v="8"/>
    <n v="50400000"/>
    <n v="0"/>
    <n v="0.27334261904761892"/>
  </r>
  <r>
    <n v="7"/>
    <n v="2025"/>
    <s v="KSNK"/>
    <s v="MN"/>
    <s v="Nguyễn Thị Kim Ngọc"/>
    <s v="IB2500081127"/>
    <x v="17"/>
    <s v="Anios"/>
    <s v="Steranios 2%"/>
    <x v="6"/>
    <s v="Xử lý dụng cụ"/>
    <s v="KK mức độ cao"/>
    <s v="Nhập khẩu"/>
    <n v="5000"/>
    <n v="173"/>
    <n v="450000"/>
    <x v="4"/>
    <n v="360297"/>
    <n v="77850000"/>
    <n v="62331381"/>
    <n v="0.05"/>
    <s v="Xin xem Bảng danh mục hàng hóa dự thầu"/>
    <n v="8"/>
    <n v="41554254"/>
    <n v="0"/>
    <n v="0.46811380610995929"/>
  </r>
  <r>
    <n v="7"/>
    <n v="2025"/>
    <s v="KSNK"/>
    <s v="MB"/>
    <s v="Hứa Thùy Linh"/>
    <s v="IB2500180164"/>
    <x v="18"/>
    <s v="Metrex"/>
    <s v="EmPower Fragrance Free"/>
    <x v="4"/>
    <s v="Xử lý dụng cụ"/>
    <s v="Làm sạch và tiền KK"/>
    <s v="Nhập khẩu"/>
    <n v="1000"/>
    <n v="76"/>
    <n v="349524"/>
    <x v="2"/>
    <m/>
    <n v="26563824"/>
    <n v="0"/>
    <n v="0.06"/>
    <s v="Dung dịch rửa dụng cụ y tế hoạt tính enzyme Empower Fragrance Free:_x000a_- Sử dụng để làm sạch thủ công, trong bể rửa siêu âm và trong các hệ thống rửa tự động,_x000a_- An toàn với các vật liệu bằng cao su, thép, kim loại ,,,_x000a_- Thành phần: Dung dịch rửa dụng cụ y tế hoạt tính enzyme có chứa ≥ 04 loại enzyme và chất hoạt động bề mặt, trong đó có 02 enzyme protease giúp phá vỡ và loại bỏ máu, mô, chất nhầy và dịch cơ thể giàu protein khác khỏi dụng cụ,_x000a_Enzyme protease 1 (Liquanase Everis 900L)  1-5%,_x000a_Enzyme protease 2 (Savinase Everis 900L)  &lt;1%_x000a_Emzyme amylase (Amplify Prime 100L) &lt; 1%,_x000a_Enzyme lipase (Lipex Evity 200L) &lt;1%_x000a_Propylene Glycol: 1-5%_x000a_- Đóng gói theo tiêu chuẩn nhà sản xuất: Can 3,8 lít"/>
    <n v="8"/>
    <n v="0"/>
    <m/>
    <m/>
  </r>
  <r>
    <n v="7"/>
    <n v="2025"/>
    <s v="KSNK"/>
    <s v="MB"/>
    <s v="Nguyễn Thị Tình"/>
    <s v="IB2500108600"/>
    <x v="19"/>
    <s v="Anios"/>
    <s v="Opaster'Anios"/>
    <x v="0"/>
    <s v="Xử lý dụng cụ"/>
    <s v="KK mức độ cao"/>
    <s v="Nhập khẩu"/>
    <n v="5000"/>
    <n v="50"/>
    <n v="1125000"/>
    <x v="1"/>
    <n v="980000"/>
    <n v="56250000"/>
    <n v="49000000"/>
    <n v="0.38"/>
    <s v="Theo bản đáp ứng kỹ thuật đính kèm"/>
    <n v="8"/>
    <n v="32666666.666666668"/>
    <n v="0.1"/>
    <n v="0.37779489795918364"/>
  </r>
  <r>
    <n v="7"/>
    <n v="2025"/>
    <s v="KSNK"/>
    <s v="MB"/>
    <s v="Nghiêm Thị Quỳnh Hương"/>
    <s v="IB2500317199"/>
    <x v="20"/>
    <s v="Anios"/>
    <s v="Steranios 2%"/>
    <x v="4"/>
    <s v="Xử lý dụng cụ"/>
    <s v="KK mức độ cao"/>
    <s v="Nhập khẩu"/>
    <n v="5000"/>
    <n v="24"/>
    <n v="425000"/>
    <x v="2"/>
    <m/>
    <n v="10200000"/>
    <n v="0"/>
    <n v="0.06"/>
    <s v="Thành phần Glutaraldehyde 2,0%. Có test thử hoạt chất kèm theo. Can 5 lít. Đạt tiêu chuẩn: ISO 13485."/>
    <n v="8"/>
    <n v="0"/>
    <m/>
    <m/>
  </r>
  <r>
    <n v="7"/>
    <n v="2025"/>
    <s v="KSNK"/>
    <s v="MB"/>
    <s v="Nghiêm Thị Quỳnh Hương"/>
    <s v="IB2500317199"/>
    <x v="20"/>
    <s v="Anios"/>
    <s v="Opaster'Anios"/>
    <x v="4"/>
    <s v="Xử lý dụng cụ"/>
    <s v="KK mức độ cao"/>
    <s v="Nhập khẩu"/>
    <n v="5000"/>
    <n v="52"/>
    <n v="990000"/>
    <x v="2"/>
    <m/>
    <n v="51480000"/>
    <n v="0"/>
    <n v="0.33"/>
    <s v="Ortho – Phthaladehyde  0,55%, hệ đệm pH=7. Hiệu quả sau thời gian ngâm tối tiểu 5 phút. Can 5 lít. Tiêu chuẩn: ISO 13485"/>
    <n v="8"/>
    <n v="0"/>
    <m/>
    <m/>
  </r>
  <r>
    <n v="7"/>
    <n v="2025"/>
    <s v="KSNK"/>
    <s v="MN"/>
    <s v="Nguyễn Thái Hằng"/>
    <s v="IB2500052480"/>
    <x v="21"/>
    <s v="Anios"/>
    <s v="Anios’Clean Excel D"/>
    <x v="11"/>
    <s v="Xử lý dụng cụ"/>
    <s v="Làm sạch và tiền KK"/>
    <s v="Nhập khẩu"/>
    <n v="1000"/>
    <n v="408"/>
    <n v="323900"/>
    <x v="1"/>
    <n v="320000"/>
    <n v="132151200"/>
    <n v="130560000"/>
    <n v="1"/>
    <s v="1. Dung dịch làm sạch và khử khuẩn dụng cụ y tế._x000a_   - Được thử nghiệm với nước cứng, pH dung dịch chưa pha loãng: từ 6.5 - 7.5_x000a_ 2. Đạt tiêu chuẩn: ISO/TS 15883-5:2006 (chống lại màng Biofilm)_x000a_ 3. Hiệu quả diệt khuẩn:_x000a_   - Diệt khuẩn EN 14561 (Pseudomonas aeruginosa, Staphylococcus aureus, Enterococcus hirae...),  diệt các chủng đa kháng như MRSA, ESBL, VRE theo tiêu chuẩn EN 13727+A1 trong 5 - 15 phút_x000a_   - Diệt virus HIV-1, HBV, HCV, HSV, Vacinia theo tiêu chuẩn Châu Âu EN 14476+A1 trong 5 phút._x000a_   - Nồng độ sử dụng 0.5% (25ml trong 5 lít nước), có vòi bơm định lượng đi kèm_x000a_   - Quy cách đóng gói: Can 5 lít"/>
    <n v="8"/>
    <n v="87040000"/>
    <n v="0.1"/>
    <n v="0.44766562499999996"/>
  </r>
  <r>
    <n v="7"/>
    <n v="2025"/>
    <s v="KSNK"/>
    <s v="MN"/>
    <s v="Nguyễn Thái Hằng"/>
    <s v="IB2500052481"/>
    <x v="21"/>
    <s v="Anios"/>
    <s v="Aniosyme X3"/>
    <x v="2"/>
    <s v="Xử lý dụng cụ"/>
    <s v="Làm sạch và tiền KK"/>
    <s v="Nhập khẩu"/>
    <n v="1000"/>
    <n v="1092"/>
    <n v="569500"/>
    <x v="1"/>
    <n v="530000"/>
    <n v="621894000"/>
    <n v="578760000"/>
    <n v="1"/>
    <s v="1. Dung dịch làm sạch và tiền khử khuẩn dụng cụ_x000a_  - Thành phần chất làm sạch và khử nhiễm: 14% N,N-Didecyl-N-Methyl-poly(oxyethyl)ammonium propionate + 0,3% Chlorhexidine digluconate, hỗn hợp 3 enzym: Protease, Lipase, Amylase, chất hoạt động bề mặt_x000a_2. Hiệu quả chống lại màng bioflim theo tiêu chuẩn EN 15883_x000a_3. Hiệu quả diệt khuẩn:_x000a_   - Diệt khuẩn theo tiêu chuẩn EN 14561_x000a_   - Diệt virus theo tiêu chuẩn EN 14476_x000a_4. Được thử nghiệm với nước cứng_x000a_   - Nồng độ sử dụng 0.5%_x000a_   - Quy cách đóng gói : Chai 1 lít"/>
    <n v="8"/>
    <n v="385840000"/>
    <n v="0.1"/>
    <n v="0.41266981132075475"/>
  </r>
  <r>
    <n v="7"/>
    <n v="2025"/>
    <s v="KSNK"/>
    <s v="MN"/>
    <s v="Nguyễn Thái Hằng"/>
    <s v="IB2500052482"/>
    <x v="21"/>
    <s v="Anios"/>
    <s v="Aniosyme X3"/>
    <x v="2"/>
    <s v="Xử lý dụng cụ"/>
    <s v="Làm sạch và tiền KK"/>
    <s v="Nhập khẩu"/>
    <n v="1000"/>
    <n v="72"/>
    <n v="517900"/>
    <x v="1"/>
    <n v="530000"/>
    <n v="37288800"/>
    <n v="38160000"/>
    <n v="1"/>
    <s v="1. Dung dịch làm sạch và tiền khử khuẩn dụng cụ_x000a_  - Thành phần chất làm sạch và khử nhiễm: 14% N,N-Didecyl-N-Methyl-poly(oxyethyl)ammonium propionate + 0,3% Chlorhexidine digluconate, hỗn hợp 3 enzym: Protease, Lipase, Amylase, chất hoạt động bề mặt_x000a_2. Hiệu quả chống lại màng bioflim theo tiêu chuẩn EN 15883_x000a_3. Hiệu quả diệt khuẩn:_x000a_   - Diệt khuẩn theo tiêu chuẩn EN 14561_x000a_   - Diệt virus theo tiêu chuẩn EN 14476_x000a_4. Được thử nghiệm với nước cứng_x000a_   - Nồng độ sử dụng 0.5%_x000a_   - Quy cách đóng gói : Can lít"/>
    <n v="8"/>
    <n v="25440000"/>
    <n v="0.1"/>
    <n v="0.41266981132075475"/>
  </r>
  <r>
    <n v="7"/>
    <n v="2025"/>
    <s v="KSNK"/>
    <s v="MN"/>
    <s v="Nguyễn Thái Hằng"/>
    <s v="IB2500052483"/>
    <x v="21"/>
    <s v="Anios"/>
    <s v="Opaster'Anios"/>
    <x v="0"/>
    <s v="Xử lý dụng cụ"/>
    <s v="KK mức độ cao"/>
    <s v="Nhập khẩu"/>
    <n v="5000"/>
    <n v="1980"/>
    <n v="212820"/>
    <x v="1"/>
    <n v="196000"/>
    <n v="421383600"/>
    <n v="388080000"/>
    <n v="1"/>
    <s v="1. Dung dịch khử khuẩn mức độ cao dụng cụ nội soi và dụng cụ không chịu nhiệt  trong 5 phút._x000a_   - Thành phần: 0,55% Ortho- Phthalaldehyde,_x000a_ 2. Dung dịch pha sẵn không cần hoạt hoá, pH=7_x000a_   -  Quy cách đóng gói : Can 5 lít_x000a_   - Tương thích thành bộ với &quot;Dung dịch tẩy rửa sinh học đa enzyme&quot;_x000a_ 3. Hiệu quả diệt khuẩn:_x000a_   - Diệt khuẩn theo tiêu chuẩn EN 14561_x000a_   - Diệt nấm theo tiêu chuẩn EN 14562_x000a_   - Diệt virus theo tiêu chuẩn EN 14476_x000a_   - Diệt vi khuẩn lao EN 14563 (Mycobacterium terrae, Mycobacterium avium...)_x000a_   - Diệt bào tử trong 30 phút theo EN 17126_x000a_   - Diệt virus EN 17111 (Adenovirus...)_x000a_   - Tái sử dụng trong 14 ngày (tặng kèm test thử để kiểm tra nồng độ OPA)_x000a_4. Có tài liệu chứng minh tương thích với ống nội soi hãng Olympus/Karl Stozr"/>
    <n v="8"/>
    <n v="258720000"/>
    <n v="0.1"/>
    <n v="0.37779489795918364"/>
  </r>
  <r>
    <n v="7"/>
    <n v="2025"/>
    <s v="KSNK"/>
    <s v="MN"/>
    <s v="Nguyễn Thái Hằng"/>
    <s v="IB2500052484"/>
    <x v="21"/>
    <s v="Anios"/>
    <s v="Aniosyme Synergy 5"/>
    <x v="10"/>
    <s v="Xử lý dụng cụ"/>
    <s v="Làm sạch và tiền KK"/>
    <s v="Nhập khẩu"/>
    <n v="5000"/>
    <n v="720"/>
    <n v="421000"/>
    <x v="1"/>
    <n v="440000"/>
    <n v="303120000"/>
    <n v="316800000"/>
    <n v="1"/>
    <s v="1. Dung dịch tẩy rửa dụng cụ đa enzyme có thành phần: 5 enzyme protease, lipase, amylase, mannanase, cellulase,_x000a_2. Hiệu quả chống lại màng biofilm vi khuẩn Pseudomonas aeruginosa theo tiêu chuẩn ISO/TS 15883-5_x000a_3. Đạt tiêu chuẩn ISO 11930 (Khả năng kháng khuẩn của sản phẩm)_x000a_4. Phù hợp với mọi chất lượng nước khác nhau (nước mềm hoặc nước chưa xử lý)_x000a_   - Công thức không chứa chất bay hơi_x000a_   -  pH = 6.89-7.29_x000a_   - Nồng độ sử dụng: 0,1 - 0,5%_x000a_   - Quy cách đóng gói: Can 5 lít_x000a_   - Tương thích thành bộ với &quot;Dung dịch khử khuẩn mức độ cao cho dụng cụ nội soi&quot;"/>
    <n v="8"/>
    <n v="211200000"/>
    <n v="0.1"/>
    <n v="0.45982349999999983"/>
  </r>
  <r>
    <n v="7"/>
    <n v="2025"/>
    <s v="KSNK"/>
    <s v="MB"/>
    <s v="Hứa Thùy Linh"/>
    <s v="IB2500069434"/>
    <x v="22"/>
    <s v="Anios"/>
    <s v="Aniosyme Synergy 5"/>
    <x v="4"/>
    <s v="Xử lý dụng cụ"/>
    <s v="Làm sạch và tiền KK"/>
    <s v="Nhập khẩu"/>
    <n v="5000"/>
    <n v="6"/>
    <n v="2175000"/>
    <x v="2"/>
    <m/>
    <n v="13050000"/>
    <n v="0"/>
    <n v="0.01"/>
    <s v="1. Thành phần: Hỗn hợp 5 enzyme protease, lipase, amylase, mannanase, cellulase, và các thành phần khác_x000a_2. Dùng được cho máy rửa tự động và ngâm rửa thủ công_x000a_Nồng độ sử dụng: từ 0.1% (máy rửa)_x000a_pH = 6.89-7.29_x000a_Thời gian: từ 5 phút_x000a_Phù hợp với mọi chất lượng nước khác nhau_x000a_Quy cách: Can 5 Lít_x000a_Tiêu chuẩn ISO 13485, ISO 9001, ISO 14001"/>
    <n v="8"/>
    <n v="0"/>
    <m/>
    <m/>
  </r>
  <r>
    <n v="7"/>
    <n v="2025"/>
    <s v="KSNK"/>
    <s v="MB"/>
    <s v="Hứa Thùy Linh"/>
    <s v="IB2500069434"/>
    <x v="22"/>
    <s v="Anios"/>
    <s v="Opaster'Anios"/>
    <x v="4"/>
    <s v="Xử lý dụng cụ"/>
    <s v="KK mức độ cao"/>
    <s v="Nhập khẩu"/>
    <n v="5000"/>
    <n v="580"/>
    <n v="1050000"/>
    <x v="2"/>
    <m/>
    <n v="609000000"/>
    <n v="0"/>
    <n v="0.37"/>
    <s v="1. Thành phần: 0,55% Ortho- Phthalaldehyde,_x000a_2. pH=7, dung dịch sẵn sàng sử dụng (không pha loãng)._x000a_Khử khuẩn mức độ cao trong 5 phút._x000a_Tái sử dụng trong 14 ngày (tặng kèm test thử để kiểm tra nồng độ OPA)._x000a_Quy cách: Can 5 Lít_x000a_3. Hiệu quả diệt khuẩn:_x000a_- Diệt khuẩn trong 5 phút theo EN 14561_x000a_- Diệt nấm trong 5 phút theo EN 14562_x000a_- Diệt vi khuẩn lao trong 5 phút theo EN 14563_x000a_- Diệt bào tử trong 30 phút theo EN 17126_x000a_- Diệt virus trong 5 phút theo EN 17111_x000a_4. Đạt tiêu chuẩn CE, ISO 13485, ISO 9001, ISO 14001"/>
    <n v="8"/>
    <n v="0"/>
    <m/>
    <m/>
  </r>
  <r>
    <n v="7"/>
    <n v="2025"/>
    <s v="KSNK"/>
    <s v="MB"/>
    <s v="Hứa Thùy Linh"/>
    <s v="IB2500069434"/>
    <x v="22"/>
    <s v="Dr.Weigert"/>
    <s v="Neodisher MediClean Forte"/>
    <x v="4"/>
    <s v="Xử lý dụng cụ"/>
    <s v="Làm sạch và tiền KK"/>
    <s v="Nhập khẩu"/>
    <n v="1000"/>
    <n v="970"/>
    <n v="329000"/>
    <x v="2"/>
    <m/>
    <n v="319130000"/>
    <n v="0"/>
    <n v="0.19"/>
    <s v="Chi tiết theo bản chào kỹ thuật"/>
    <n v="8"/>
    <n v="0"/>
    <m/>
    <m/>
  </r>
  <r>
    <n v="7"/>
    <n v="2025"/>
    <s v="KSNK"/>
    <s v="MB"/>
    <s v="Hứa Thùy Linh"/>
    <s v="IB2500160769"/>
    <x v="23"/>
    <s v="Asp"/>
    <s v="Cidex Opa"/>
    <x v="4"/>
    <s v="Xử lý dụng cụ"/>
    <s v="KK mức độ cao"/>
    <s v="Nhập khẩu"/>
    <n v="5000"/>
    <n v="60"/>
    <n v="986000"/>
    <x v="2"/>
    <m/>
    <n v="59160000"/>
    <n v="0"/>
    <n v="0.26"/>
    <s v="Thành phần tối thiểu gồm: Ortho-phthaladehyde 0,55%; pH 7 - 8. Thời gian ngâm khử khuẩn mức độ cao ≤ 5 phút, tái sử dụng trong vòng 14 ngày. Thời gian bảo quản dung dịch trong can đạt ≥ 75 ngày tính từ khi mở nắp. Không gây ăn mòn dụng cụ, tương thích với nhiều loại dụng cụ và vật liệu (kể cả Polystyrene, Cyanoacrylate). Sử dụng được với các dụng cụ bằng vật liệu cao su silicone"/>
    <n v="8"/>
    <n v="0"/>
    <m/>
    <m/>
  </r>
  <r>
    <n v="7"/>
    <n v="2025"/>
    <s v="KSNK"/>
    <s v="MB"/>
    <s v="Hứa Thùy Linh"/>
    <s v="IB2500160769"/>
    <x v="23"/>
    <s v="Dr.Weigert"/>
    <s v="Neodisher Septo Active"/>
    <x v="4"/>
    <s v="Xử lý dụng cụ"/>
    <s v="KK mức độ cao"/>
    <s v="Nhập khẩu"/>
    <s v="2kg "/>
    <n v="3"/>
    <n v="2400000"/>
    <x v="2"/>
    <m/>
    <n v="7200000"/>
    <n v="0"/>
    <n v="0.03"/>
    <s v="Dung dịch 1% chứa 0.15% peracetic acid; &lt;5% phosphates, chất hoạt động bề mặt không ion, &gt;30% chất tẩy trắng gốc oxy"/>
    <n v="8"/>
    <n v="0"/>
    <m/>
    <m/>
  </r>
  <r>
    <n v="7"/>
    <n v="2025"/>
    <s v="KSNK"/>
    <s v="MB"/>
    <s v="Hứa Thùy Linh"/>
    <s v="IB2500160769"/>
    <x v="23"/>
    <s v="Anios"/>
    <s v="Steranios 2%"/>
    <x v="4"/>
    <s v="Xử lý dụng cụ"/>
    <s v="KK mức độ cao"/>
    <s v="Nhập khẩu"/>
    <n v="5000"/>
    <n v="50"/>
    <n v="450000"/>
    <x v="2"/>
    <m/>
    <n v="22500000"/>
    <n v="0"/>
    <n v="0.1"/>
    <s v="Thành phần tối thiểu gồm:_x000a_Glutaraldehyde 2% + pH 6, là dung dịch pha sẵn không cần hoạt hóa. Thời gian ngâm khử khuẩn mức độ cao ≤ 10 phút, sử dụng trong vòng 30 ngày"/>
    <n v="8"/>
    <n v="0"/>
    <m/>
    <m/>
  </r>
  <r>
    <n v="7"/>
    <n v="2025"/>
    <s v="KSNK"/>
    <s v="MB"/>
    <s v="Hứa Thùy Linh"/>
    <s v="IB2500160769"/>
    <x v="23"/>
    <s v="Asp"/>
    <s v="Cidex Opa"/>
    <x v="4"/>
    <s v="Xử lý dụng cụ"/>
    <s v="KK mức độ cao"/>
    <s v="Nhập khẩu"/>
    <n v="5000"/>
    <n v="20"/>
    <n v="986000"/>
    <x v="2"/>
    <m/>
    <n v="19720000"/>
    <n v="0"/>
    <n v="0.09"/>
    <s v="Thành phần tối thiểu gồm: Ortho-phthaladehyde 0,55%; pH 7 - 8. Thời gian ngâm khử khuẩn mức độ cao ≤ 5 phút, tái sử dụng trong vòng 14 ngày. Thời gian bảo quản dung dịch trong can đạt ≥ 75 ngày tính từ khi mở nắp. Không gây ăn mòn dụng cụ, tương thích với nhiều loại dụng cụ và vật liệu (kể cả Polystyrene, Cyanoacrylate). Sử dụng được với các dụng cụ bằng vật liệu cao su silicone."/>
    <n v="8"/>
    <n v="0"/>
    <m/>
    <m/>
  </r>
  <r>
    <n v="7"/>
    <n v="2025"/>
    <s v="KSNK"/>
    <s v="MB"/>
    <s v="Hứa Thùy Linh"/>
    <s v="IB2500160769"/>
    <x v="23"/>
    <s v="Anios"/>
    <s v="Surfa'Safe"/>
    <x v="4"/>
    <s v="Xử lý bề mặt"/>
    <s v="Phun tay"/>
    <s v="Nhập khẩu"/>
    <n v="750"/>
    <n v="30"/>
    <n v="395000"/>
    <x v="2"/>
    <m/>
    <n v="11850000"/>
    <n v="0"/>
    <n v="0.05"/>
    <s v="Thành phần tối thiểu gồm: 0,14%_x000a_Didecyldimethylammonium chloride + 0,096% Polyhexamethylene biguanide hydrochloride."/>
    <n v="8"/>
    <n v="0"/>
    <m/>
    <m/>
  </r>
  <r>
    <n v="7"/>
    <n v="2025"/>
    <s v="KSNK"/>
    <s v="MB"/>
    <s v="Hứa Thùy Linh"/>
    <s v="IB2500212350"/>
    <x v="24"/>
    <s v="Anios"/>
    <s v="Anios’Clean Excel D"/>
    <x v="1"/>
    <s v="Xử lý dụng cụ"/>
    <s v="Làm sạch và tiền KK"/>
    <s v="Nhập khẩu"/>
    <n v="5000"/>
    <n v="30"/>
    <n v="1625000"/>
    <x v="1"/>
    <n v="1450000"/>
    <n v="48750000"/>
    <n v="43500000"/>
    <n v="0.11"/>
    <s v="1. Thành phần: 6,5% Didecyldimethyl ammonium chloride + 0,074% Chlorhexidine digluconate, chất hoạt động bề mặt non-ionic._x000a_2. Làm sạch và khử khuẩn dụng cụ y tế._x000a_Nồng độ sử dụng 0.5% (25ml trong 5 lít nước)_x000a_pH = 6.6 - 7.6_x000a_Thời gian tiếp xúc: từ 5 phút_x000a_3. Hiệu quả diệt khuẩn_x000a_- Diệt khuẩn EN 14561 (Pseudomonas aeruginosa, Staphylococcus aureus, Enterococcus hirae...)_x000a_- Diệt nấm EN 14562 (Candida albicans, Aspergillus niger...)_x000a_- Diệt vi khuẩn lao EN 14563 (Mycobacterium terrae...)_x000a_- Diệt virus HIV-1, HBV, HCV, HSV,_x000a_- Diệt Vacinia EN 17111_x000a_4. Đạt tiêu chuẩn: ISO 15883 (chống lại màng Biofilm)_x000a_5. Đạt tiêu chuẩn CE, ISO 13485, ISO 9001"/>
    <n v="8"/>
    <n v="29000000"/>
    <n v="0.1"/>
    <n v="0.45095172413793105"/>
  </r>
  <r>
    <n v="7"/>
    <n v="2025"/>
    <s v="KSNK"/>
    <s v="MB"/>
    <s v="Hứa Thùy Linh"/>
    <s v="IB2500212350"/>
    <x v="24"/>
    <s v="Anios"/>
    <s v="Aniosyme X3"/>
    <x v="12"/>
    <s v="Xử lý dụng cụ"/>
    <s v="Làm sạch và tiền KK"/>
    <s v="Nhập khẩu"/>
    <n v="5000"/>
    <n v="50"/>
    <n v="2675000"/>
    <x v="1"/>
    <n v="2450000"/>
    <n v="133750000"/>
    <n v="122500000"/>
    <n v="0.31"/>
    <s v="1. Thành phần: 14% N,N-Didecyl-N-Methyl-poly(oxyethyl)ammonium propionate + 0,3% Chlorhexidine digluconate, hỗn hợp 3 enzym: 0.5%-2% Protease, 0.1%-0.5% Lipase, 0.1%-0.5% Amylase, chất hoạt động bề mặt_x000a_2. Làm sạch và khử nhiễm._x000a_Thời gian tiếp xúc: từ 5 phút_x000a_Nồng độ sử dụng 0.5% (25ml dung dịch trong 5 lít nước)_x000a_3. Đạt tiêu chuẩn: ISO 15883 (chống lại màng Biofilm )_x000a_4. Hiệu quả diệt khuẩn:_x000a_Diệt khuẩn EN 14561 (Staphylococcus aureus, Pseudomonas aeruginosa, Enterococcus hirae...)_x000a_Diệt virus EN 14476 (HIV-1, HBV, HCV,HSV 1...)_x000a_Diệt virus có vỏ bọc theo tiêu chuẩn EN 17111 (Vaccinia virus...)_x000a_5. Đạt tiêu chuẩn CE, ISO 13485, ISO 9001"/>
    <n v="8"/>
    <n v="81666666.666666672"/>
    <n v="0.1"/>
    <n v="0.40585946938775508"/>
  </r>
  <r>
    <n v="7"/>
    <n v="2025"/>
    <s v="KSNK"/>
    <s v="MB"/>
    <s v="Hứa Thùy Linh"/>
    <s v="IB2500292468"/>
    <x v="25"/>
    <s v="Anios"/>
    <s v="Steranios 2%"/>
    <x v="4"/>
    <s v="Xử lý dụng cụ"/>
    <s v="KK mức độ cao"/>
    <s v="Nhập khẩu"/>
    <n v="5000"/>
    <n v="74"/>
    <n v="567000"/>
    <x v="2"/>
    <m/>
    <n v="41958000"/>
    <n v="0"/>
    <n v="0.34"/>
    <s v="Dung dịch có chứa 2% Glutaraldehyde, pH=6 1. Dung dịch khử khuẩn mức độ cao dụng cụ nội soi và các dụng cụ không chịu nhiệt. 2. Dung dịch pha sẵn không cần hoạt hóa. 3. pH = 6  ,  , 4. Diệt khuẩn theo tiêu chuẩn EN 14561, diệt nấm theo tiêu chuẩn EN 14562, diệt virus theo tiêu chuẩn EN 14476 +A1 và diệt Mycobacteria theo tiêu chuẩn EN 14563 trong 10 phút. 5. Tái sử dụng trong 30 ngày (tặng kèm test thử để kiểm tra hiệu quả dung dịch). Can 5 lit"/>
    <n v="8"/>
    <n v="0"/>
    <m/>
    <m/>
  </r>
  <r>
    <n v="7"/>
    <n v="2025"/>
    <s v="KSNK"/>
    <s v="MB"/>
    <s v="Hứa Thùy Linh"/>
    <s v="IB2500292468"/>
    <x v="25"/>
    <s v="Asp"/>
    <s v="Cidezyme"/>
    <x v="4"/>
    <s v="Xử lý dụng cụ"/>
    <s v="Làm sạch và tiền KK"/>
    <s v="Nhập khẩu"/>
    <n v="1000"/>
    <n v="43"/>
    <n v="735000"/>
    <x v="2"/>
    <m/>
    <n v="31605000"/>
    <n v="0"/>
    <n v="0.25"/>
    <s v="Thành phần và hàm lượng hoạt chất: Enzyme Protease subtilisin 0,5%. Dạng lỏng, dùng để làm sạch và khử khuẩn dụng cụ y tế. Chai 1 lit"/>
    <n v="8"/>
    <n v="0"/>
    <m/>
    <m/>
  </r>
  <r>
    <n v="7"/>
    <n v="2025"/>
    <s v="KSNK"/>
    <s v="MB"/>
    <s v="Hứa Thùy Linh"/>
    <s v="MSTT10072025"/>
    <x v="26"/>
    <s v="Anios"/>
    <s v="Aniosyme Synergy 5"/>
    <x v="4"/>
    <s v="Xử lý dụng cụ"/>
    <s v="Làm sạch và tiền KK"/>
    <s v="Nhập khẩu"/>
    <n v="5000"/>
    <n v="80"/>
    <n v="2160000"/>
    <x v="2"/>
    <m/>
    <n v="172800000"/>
    <n v="0"/>
    <n v="0.23"/>
    <s v=" "/>
    <n v="8"/>
    <n v="0"/>
    <m/>
    <m/>
  </r>
  <r>
    <n v="8"/>
    <n v="2025"/>
    <s v="KSNK"/>
    <s v="MB"/>
    <s v="Nguyễn Thị Tình"/>
    <s v="IB2500225569"/>
    <x v="27"/>
    <s v="Dr.Weigert"/>
    <s v="Neodisher MediClean Forte"/>
    <x v="9"/>
    <s v="Xử lý dụng cụ"/>
    <s v="Làm sạch và tiền KK"/>
    <s v="Nhập khẩu"/>
    <n v="1000"/>
    <n v="100"/>
    <n v="465000"/>
    <x v="1"/>
    <n v="440000"/>
    <n v="46500000"/>
    <n v="44000000"/>
    <n v="0.09"/>
    <s v="Chi tiết theo bản chào kỹ thuật"/>
    <n v="7"/>
    <n v="25666666.666666668"/>
    <n v="0.1"/>
    <n v="0.40493249999999992"/>
  </r>
  <r>
    <n v="8"/>
    <n v="2025"/>
    <s v="KSNK"/>
    <s v="MB"/>
    <s v="Hứa Thùy Linh"/>
    <s v="IB2500219380"/>
    <x v="28"/>
    <s v="Asp"/>
    <s v="Cidezyme"/>
    <x v="4"/>
    <s v="Xử lý dụng cụ"/>
    <s v="Làm sạch và tiền KK"/>
    <s v="Nhập khẩu"/>
    <n v="1000"/>
    <n v="75"/>
    <n v="626000"/>
    <x v="2"/>
    <m/>
    <n v="46950000"/>
    <n v="0"/>
    <n v="0.21"/>
    <s v="Thành phần tối thiểu gồm: Protease Enzyme ≥ 0,5%. Không gây ăn mòn dụng cụ. Tác dụng sau 1 -3 phút. Quy cách đóng gói: Chai 1000ml. Đạt tiêu chuẩn ISO 13485:2016"/>
    <n v="7"/>
    <n v="0"/>
    <m/>
    <m/>
  </r>
  <r>
    <n v="8"/>
    <n v="2025"/>
    <s v="KSNK"/>
    <s v="MB"/>
    <s v="Hứa Thùy Linh"/>
    <s v="IB2500219380"/>
    <x v="28"/>
    <s v="Anios"/>
    <s v="Steranios 2%"/>
    <x v="4"/>
    <s v="Xử lý dụng cụ"/>
    <s v="KK mức độ cao"/>
    <s v="Nhập khẩu"/>
    <n v="5000"/>
    <n v="25"/>
    <n v="460000"/>
    <x v="2"/>
    <m/>
    <n v="11500000"/>
    <n v="0"/>
    <n v="0.05"/>
    <s v="Thành phần tối thiểu gồm: glutaraldehyde 2% + pH 6, là dung dịch pha sẵn không cần hoạt hóa. Thời gian ngâm khử khuẩn mức độ cao ≤ 10 phút, sử dụng trong vòng 30 ngày._x000a_Đạt tiêu chuẩn:  ISO 13485 hoặc tương đương_x000a_Quy cách đóng gói: Can  ≥ 5 lít"/>
    <n v="7"/>
    <n v="0"/>
    <m/>
    <m/>
  </r>
  <r>
    <n v="8"/>
    <n v="2025"/>
    <s v="KSNK"/>
    <s v="MB"/>
    <s v="Hứa Thùy Linh"/>
    <s v="IB2500219380"/>
    <x v="28"/>
    <s v="Asp"/>
    <s v="Cidex Opa"/>
    <x v="4"/>
    <s v="Xử lý dụng cụ"/>
    <s v="KK mức độ cao"/>
    <s v="Nhập khẩu"/>
    <n v="3780"/>
    <n v="80"/>
    <n v="986000"/>
    <x v="2"/>
    <m/>
    <n v="78880000"/>
    <n v="0"/>
    <n v="0.35"/>
    <s v="Thành phần tối thiểu gồm: Ortho-phthaladehyde 0,55%; pH 7,2 - 7,8. Thời gian ngâm khử khuẩn mức độ cao ≤ 5 phút, tái sử dụng trong vòng 14 ngày. Thời gian bảo quản dung dịch trong can đạt  ≥  75 ngày tính từ khi mở nắp. Không gây ăn mòn dụng cụ, tương thích với nhiều loại dụng cụ và vật liệu (kể cả Polystyrene, Cyanoacrylate). Sử dụng được với các dụng cụ bằng vật liệu cao su silicone. Có chứng nhận tương tích với dụng cụ nội soi của các hãng đang sử dụng tại đơn vị (Olympus, Karl Storz, Pentax...).Đạt tiêu chuẩn: ISO 13485 hoặc tương đươngQuy cách đóng gói: Can ≥ 3,78 lít"/>
    <n v="7"/>
    <n v="0"/>
    <m/>
    <m/>
  </r>
  <r>
    <n v="8"/>
    <n v="2025"/>
    <s v="KSNK"/>
    <s v="MB"/>
    <s v="Hứa Thùy Linh"/>
    <s v="IB2500302767"/>
    <x v="29"/>
    <s v="Anios"/>
    <s v="Steranios 2%"/>
    <x v="6"/>
    <s v="Xử lý dụng cụ"/>
    <s v="KK mức độ cao"/>
    <s v="Nhập khẩu"/>
    <n v="5000"/>
    <n v="20"/>
    <n v="580000"/>
    <x v="1"/>
    <n v="428925"/>
    <n v="11600000"/>
    <n v="8578500"/>
    <n v="0.04"/>
    <s v="Thành phần: 2% Glutaraldehyde không cần hoạt hóa, pH=6_x000a_Khử khuẩn mức độ cao ≤ 10 phút._x000a_Diệt bào tử ≤ 60 phút. _x000a_Tái sử dụng trong 30 ngày (tặng kèm test thử)._x000a_Đạt ISO 13485, CE."/>
    <n v="7"/>
    <n v="5004125"/>
    <n v="0.1"/>
    <n v="0.42921559713236579"/>
  </r>
  <r>
    <n v="8"/>
    <n v="2025"/>
    <s v="KSNK"/>
    <s v="MB"/>
    <s v="Hứa Thùy Linh"/>
    <s v="IB2500302767"/>
    <x v="29"/>
    <s v="Anios"/>
    <s v="Opaster'Anios"/>
    <x v="0"/>
    <s v="Xử lý dụng cụ"/>
    <s v="KK mức độ cao"/>
    <s v="Nhập khẩu"/>
    <n v="5000"/>
    <n v="24"/>
    <n v="1300000"/>
    <x v="1"/>
    <n v="980000"/>
    <n v="31200000"/>
    <n v="23520000"/>
    <n v="0.1"/>
    <s v="Thành phần: 0,55% Ortho- Phthalaldehyde, pH=7, dung dịch sẵn sàng sử dụng (không cần hoạt hóa)._x000a_Khử khuẩn mức độ cao ≤ 5 phút._x000a_Diệt bào tử ≤ 30 phút. _x000a_Tái sử dụng trong 14 ngày (tặng kèm test thử để kiểm tra nồng độ OPA)._x000a_Đạt ISO 13485, CE."/>
    <n v="7"/>
    <n v="13720000"/>
    <n v="0.1"/>
    <n v="0.37779489795918364"/>
  </r>
  <r>
    <n v="8"/>
    <n v="2025"/>
    <s v="KSNK"/>
    <s v="MB"/>
    <s v="Hứa Thùy Linh"/>
    <s v="IB2500302767"/>
    <x v="29"/>
    <s v="Asp"/>
    <s v="Cidezyme"/>
    <x v="9"/>
    <s v="Xử lý dụng cụ"/>
    <s v="Làm sạch và tiền KK"/>
    <s v="Nhập khẩu"/>
    <n v="1000"/>
    <n v="150"/>
    <n v="790000"/>
    <x v="1"/>
    <n v="440000"/>
    <n v="118500000"/>
    <n v="66000000"/>
    <n v="0.37"/>
    <s v="Dung dịch tẩy rửa dựa trên hoạt tính Enzym. Khử khuẩn và làm sạch dụng cụ. Thành phần chính: Protease enzyme 5%. Tiêu chuẩn chất lượng: ISO 13485"/>
    <n v="7"/>
    <n v="38500000"/>
    <n v="0.1"/>
    <n v="0.40493249999999992"/>
  </r>
  <r>
    <n v="7"/>
    <n v="2025"/>
    <s v="KSNK"/>
    <s v="MN"/>
    <s v="Nguyễn Thị Xuân Hồng"/>
    <s v="IB2500090160"/>
    <x v="8"/>
    <s v="Zhivas"/>
    <s v="Zhivasept Opa"/>
    <x v="13"/>
    <s v="Xử lý dụng cụ"/>
    <s v="KK mức độ cao"/>
    <s v="Nhập khẩu"/>
    <n v="5000"/>
    <n v="5640"/>
    <n v="195000"/>
    <x v="2"/>
    <m/>
    <n v="1099800000"/>
    <n v="0"/>
    <n v="0.57999999999999996"/>
    <s v="Dung dịch khử khuẩn dụng cụ mức độ cao Zhivasept OPA_x000a_- Thành phần và nồng độ: chứa Ortho-phthaladehyde 0.55% pH trung tính, không mùi;_x000a_- Dạng đóng gói: 5 lít/ can;_x000a_- Tiêu chuẩn: Châu Âu EN 14561 (tương đương EN13727), EN 14562 (tương đương EN 1275), EN 14563, EN 17126, EN 14476;_x000a_- Công dụng: phổ diệt khuẩn rộng như vi khuẩn, nấm, virus, mycobacteria, bào tử;_x000a_- Tương thích với các loại dụng cụ nội soi;_x000a_- Cách sử dụng: Thời gian tái sử dụng dung dịch trong chậu ngâm là 14 ngày (kiểm tra nồng độ dung dịch ngâm bằng test thử được cung cấp kèm theo mỗi can 5L)_x000a_- Tiêu chuẩn chất lượng: CE, ISO 13485"/>
    <n v="8"/>
    <n v="0"/>
    <m/>
    <m/>
  </r>
  <r>
    <n v="7"/>
    <n v="2025"/>
    <s v="KSNK"/>
    <s v="MN"/>
    <s v="Nguyễn Thị Xuân Hồng"/>
    <s v="IB2500090160"/>
    <x v="8"/>
    <s v="Anios"/>
    <s v="Wip'Anios Excel"/>
    <x v="3"/>
    <s v="Xử lý bề mặt"/>
    <s v="Khăn lau"/>
    <s v="Nhập khẩu"/>
    <n v="1"/>
    <n v="6720"/>
    <n v="2900"/>
    <x v="1"/>
    <n v="2450"/>
    <n v="19488000"/>
    <n v="16464000"/>
    <n v="0.01"/>
    <s v="1. Khăn tẩm dung dịch Didecyldimethyl ammonium chloride 0.3%, không chứa cồn_x000a_2. Làm sạch &amp; khử khuẩn bề mặt, lau sơ bộ ống nội soi trước khi ngâm làm sạch và khử khuẩn, làm sạch và khử khuẩn chuyên dụng cho đầu dò siêu âm_x000a_Khăn lau với chất liệu visco 100% phân hủy sinh học_x000a_3. Kích thước 180 x 200 mm_x000a_Hiệu quả diệt khuẩn_x000a_Diệt virus HIV, HBV, HCV, Vaccinia virus, Rotavirus trong 1 phút  EN 14476_x000a_Diệt vi khuẩn, nấm EN 16615 trong 2 phút_x000a_4. Đạt tiêu chuẩn CE, ISO 13485, ISO 9001"/>
    <n v="8"/>
    <n v="10976000"/>
    <n v="0.1"/>
    <n v="0.36423428571428568"/>
  </r>
  <r>
    <n v="7"/>
    <n v="2025"/>
    <s v="KSNK"/>
    <s v="MN"/>
    <s v="Nguyễn Thị Xuân Hồng"/>
    <s v="IB2500090160"/>
    <x v="8"/>
    <s v="Metrex"/>
    <s v="CaviWipes1"/>
    <x v="13"/>
    <s v="Xử lý bề mặt"/>
    <s v="Khăn lau"/>
    <s v="Nhập khẩu"/>
    <n v="1"/>
    <n v="256480"/>
    <n v="1750"/>
    <x v="2"/>
    <m/>
    <n v="448840000"/>
    <n v="0"/>
    <n v="0.24"/>
    <s v="Là khăn lau khử khuẩn bề mặt có cồn nồng độ thấp._x000a_- Hiệu quả  ≤ 01 phút tiêu diệt được ≥  25 vi sinh vật gây bệnh trong môi trường lâm sàng, trong đó có: Nấm Candida Auris, Trực khuẩn mủ xanh, Vi khuẩn lao, Tụ cầu vàng, trực khuẩn mủ xanh, Acinetobactoer baumannii, Vi khuẩn đa kháng thuốc Acinetobacter baumannii, Tụ cầu vàng kháng Methicillin; Liên cầu đường ruột kháng kháng sinh, Nấm Cadiada albicans, Vi rút: HIV, HBV, HCV, HSV, Human Coronavius._x000a_- Thành phần: Didecyldimethylammonium chloride  0.76%. Ethanol  7.5%.  Isopropanol 15%_x000a_- Khăn kích thước (Dài xRộng)  15 x17cm làm bằng vải không dệt._x000a_- Có chứng nhận của Cơ quan, tổ chức từ các nước G7 về các công bố trên nhãn sản phẩm._x000a_- Đóng gói Hộp  160 miếng_x000a_- Đạt tiêu chuẩn FDA_x000a_- Xuất xứ: Từ các nước G7"/>
    <n v="8"/>
    <n v="0"/>
    <m/>
    <m/>
  </r>
  <r>
    <n v="8"/>
    <n v="2025"/>
    <s v="KSNK"/>
    <s v="MN"/>
    <s v="Nguyễn Thị Xuân Hồng"/>
    <s v="IB2500266269"/>
    <x v="30"/>
    <s v="Anios"/>
    <s v="Aniospray Surf 29"/>
    <x v="5"/>
    <s v="Xử lý bề mặt"/>
    <s v="Phun tay"/>
    <s v="Nhập khẩu"/>
    <n v="1000"/>
    <n v="12"/>
    <n v="350000"/>
    <x v="1"/>
    <n v="260000"/>
    <n v="4200000"/>
    <n v="3120000"/>
    <n v="0.05"/>
    <s v=" "/>
    <n v="7"/>
    <n v="1820000"/>
    <n v="0.1"/>
    <n v="0.39375923076923069"/>
  </r>
  <r>
    <n v="8"/>
    <n v="2025"/>
    <s v="KSNK"/>
    <s v="MN"/>
    <s v="Nguyễn Thị Xuân Hồng"/>
    <s v="IB2500266269"/>
    <x v="30"/>
    <s v="Anios"/>
    <s v="Aniosyme Synergy 5"/>
    <x v="9"/>
    <s v="Xử lý dụng cụ"/>
    <s v="Làm sạch và tiền KK"/>
    <s v="Nhập khẩu"/>
    <n v="1000"/>
    <n v="27"/>
    <n v="480000"/>
    <x v="1"/>
    <n v="440000"/>
    <n v="12960000"/>
    <n v="11880000"/>
    <n v="0.14000000000000001"/>
    <s v=" "/>
    <n v="7"/>
    <n v="6930000"/>
    <n v="0.1"/>
    <n v="0.40493249999999992"/>
  </r>
  <r>
    <n v="8"/>
    <n v="2025"/>
    <s v="KSNK"/>
    <s v="MN"/>
    <s v="Nguyễn Thị Xuân Hồng"/>
    <s v="IB2500266269"/>
    <x v="30"/>
    <s v="Zhivas"/>
    <s v="Zhivasept Opa"/>
    <x v="0"/>
    <s v="Xử lý dụng cụ"/>
    <s v="KK mức độ cao"/>
    <s v="Nhập khẩu"/>
    <n v="5000"/>
    <n v="44"/>
    <n v="975000"/>
    <x v="1"/>
    <n v="892500"/>
    <n v="42900000"/>
    <n v="39270000"/>
    <n v="0.48"/>
    <s v=" "/>
    <n v="7"/>
    <n v="22907500"/>
    <n v="0.1"/>
    <n v="0.3289512605042017"/>
  </r>
  <r>
    <n v="8"/>
    <n v="2025"/>
    <s v="KSNK"/>
    <s v="MN"/>
    <s v="Nguyễn Thị Xuân Hồng"/>
    <s v="IB2500266269"/>
    <x v="30"/>
    <s v="Anios"/>
    <s v="Steranios 2%"/>
    <x v="6"/>
    <s v="Xử lý dụng cụ"/>
    <s v="KK mức độ cao"/>
    <s v="Nhập khẩu"/>
    <n v="5000"/>
    <n v="50"/>
    <n v="475000"/>
    <x v="1"/>
    <n v="428925"/>
    <n v="23750000"/>
    <n v="21446250"/>
    <n v="0.26"/>
    <s v=" "/>
    <n v="7"/>
    <n v="12510312.5"/>
    <n v="0.1"/>
    <n v="0.42921559713236579"/>
  </r>
  <r>
    <n v="8"/>
    <n v="2025"/>
    <s v="KSNK"/>
    <s v="MN"/>
    <s v="Huỳnh Thị Thùy Linh"/>
    <s v="IB2500253771"/>
    <x v="31"/>
    <s v="Anios"/>
    <s v="Opaster'Anios"/>
    <x v="0"/>
    <s v="Xử lý dụng cụ"/>
    <s v="KK mức độ cao"/>
    <s v="Nhập khẩu"/>
    <n v="5000"/>
    <n v="139"/>
    <n v="1058400"/>
    <x v="4"/>
    <n v="714000"/>
    <n v="147117600"/>
    <n v="99246000"/>
    <n v="0.39"/>
    <s v="Dung dịch Khử khuẩn mức độ cao trong 5 phút, Thành phần: 0,55% Ortho- Phthalaldehyde, pH=7, dung dịch sẵn sàng sử dụng (không cầnhoạt hóa), Đạt tiêu chuẩn EN 14561, EN 14562, EN 17111 và EN 14563, Tái sử dụng trong 14 ngày (tặng kèm test thử để kiểm tra nồng độ OPA), Thời gian bảo quản dung dịch trong can sau khi mở nắp đến 3 năm, Tương thích với ống nội soi của nhiều hãng, Xuất xứ G7 ,"/>
    <n v="7"/>
    <n v="57893500"/>
    <n v="0"/>
    <n v="0.31618907563025211"/>
  </r>
  <r>
    <n v="8"/>
    <n v="2025"/>
    <s v="KSNK"/>
    <s v="MN"/>
    <s v="Huỳnh Thị Thùy Linh"/>
    <s v="IB2500253771"/>
    <x v="31"/>
    <s v="Anios"/>
    <s v="Aniosyme Synergy 5"/>
    <x v="9"/>
    <s v="Xử lý dụng cụ"/>
    <s v="Làm sạch và tiền KK"/>
    <s v="Nhập khẩu"/>
    <n v="1000"/>
    <n v="128"/>
    <n v="424200"/>
    <x v="4"/>
    <n v="252000"/>
    <n v="54297600"/>
    <n v="32256000"/>
    <n v="0.14000000000000001"/>
    <s v="Dung dịch tẩy rửa có thành phần: Hỗn hợp 5 enzyme Protease, Lipase, Amylase, Mannanase, Cellulase, có thể sử dụng cho máy rửa khử khuẩn, Đạt tiêu chuẩn ISO 11930, Hiệu quả chống lại màng biofilm vi khuẩn Pseudomonas aeruginosa theo tiêu chuẩn ISO/TS 15883-5, Nồng độ sử dụng: từ 0,1% (máy rửa), pH = 6,8-7,89, Thời gian: từ 5 phút, Phù hợp với mọi chất lượng nước khác nhau, Xuất xứ G7,"/>
    <n v="7"/>
    <n v="18816000"/>
    <n v="0"/>
    <n v="0.17750119047619031"/>
  </r>
  <r>
    <n v="8"/>
    <n v="2025"/>
    <s v="KSNK"/>
    <s v="MN"/>
    <s v="Huỳnh Thị Thùy Linh"/>
    <s v="IB2500253771"/>
    <x v="31"/>
    <s v="Anios"/>
    <s v="Anios’Clean Excel D"/>
    <x v="1"/>
    <s v="Xử lý dụng cụ"/>
    <s v="Làm sạch và tiền KK"/>
    <s v="Nhập khẩu"/>
    <n v="5000"/>
    <n v="70"/>
    <n v="1669500"/>
    <x v="4"/>
    <n v="1218000"/>
    <n v="116865000"/>
    <n v="85260000"/>
    <n v="0.31"/>
    <s v="Dung dịch làm sạch và khử khuẩn dụng cụ y tế, Thành phần: Didecyldimethyl ammoniumchloride, Chlorhexidine digluconate, chất hoạt động bề mặt non-ionic, Nồng độ sử dụng 0,5%, pH = 6,6 - 7,6, Thời gian tiếp xúc: từ 5 phút, Diệt virus (HIV-1, HBV, HCV, HSV, Vacinia) theo tiêu chuẩn, châu Âu EN 17111, Đạt tiêu chuẩn ISO 15883, , Xuất xứ G7"/>
    <n v="7"/>
    <n v="49735000"/>
    <n v="0"/>
    <n v="0.49399014778325123"/>
  </r>
  <r>
    <n v="7"/>
    <n v="2025"/>
    <s v="KSNK"/>
    <s v="MB"/>
    <s v="Hứa Thùy Linh"/>
    <s v="IB2500271697"/>
    <x v="32"/>
    <s v="Anios"/>
    <s v="Steranios 2%"/>
    <x v="6"/>
    <s v="Xử lý dụng cụ"/>
    <s v="KK mức độ cao"/>
    <s v="Nhập khẩu"/>
    <n v="1000"/>
    <n v="5"/>
    <n v="122000"/>
    <x v="1"/>
    <n v="85785"/>
    <n v="610000"/>
    <n v="428925"/>
    <n v="0.04"/>
    <s v=" "/>
    <n v="8"/>
    <n v="285950"/>
    <n v="0.1"/>
    <n v="0.42921559713236579"/>
  </r>
  <r>
    <n v="9"/>
    <n v="2025"/>
    <s v="KSNK"/>
    <s v="MB"/>
    <s v="Nguyễn Thị Tình"/>
    <s v="IB2500255370"/>
    <x v="33"/>
    <s v="Anios"/>
    <s v="Opaster'Anios"/>
    <x v="0"/>
    <s v="Xử lý dụng cụ"/>
    <s v="KK mức độ cao"/>
    <s v="Nhập khẩu"/>
    <n v="5000"/>
    <n v="125"/>
    <n v="1260000"/>
    <x v="1"/>
    <n v="980000"/>
    <n v="157500000"/>
    <n v="122500000"/>
    <n v="0.42"/>
    <s v="Thành phần tối thiểu: Orthophthaladehyde 0.55%: Thời gian ngâm khoảng: 5 phút. Dung tích: 5 Lít/Can_x000a_(Sản phẩm kèm que thử tồn dư hóa chất)"/>
    <n v="6"/>
    <n v="61250000"/>
    <n v="0.1"/>
    <n v="0.37779489795918364"/>
  </r>
  <r>
    <n v="9"/>
    <n v="2025"/>
    <s v="KSNK"/>
    <s v="MB"/>
    <s v="Nguyễn Thị Tình"/>
    <s v="IB2500255370"/>
    <x v="33"/>
    <s v="Anios"/>
    <s v="Anios’Clean Excel D"/>
    <x v="11"/>
    <s v="Xử lý dụng cụ"/>
    <s v="Làm sạch và tiền KK"/>
    <s v="Nhập khẩu"/>
    <n v="1000"/>
    <n v="25"/>
    <n v="400000"/>
    <x v="1"/>
    <n v="290000"/>
    <n v="10000000"/>
    <n v="7250000"/>
    <n v="0.03"/>
    <s v="Thành phần 6,5% Didecyldimethyl ammonium chloride, 0,074% Chlorhexidine digluconate, chất hoạt động bề mặt non-ionic. Làm sạch và khử khuẩn dụng cụ y tế. Thời gian tiếp xúc: từ 5 phút"/>
    <n v="6"/>
    <n v="3625000"/>
    <n v="0.1"/>
    <n v="0.40335517241379315"/>
  </r>
  <r>
    <n v="9"/>
    <n v="2025"/>
    <s v="KSNK"/>
    <s v="MB"/>
    <s v="Nguyễn Thị Tình"/>
    <s v="IB2500255370"/>
    <x v="33"/>
    <s v="Anios"/>
    <s v="Aniospray Surf 29"/>
    <x v="5"/>
    <s v="Xử lý bề mặt"/>
    <s v="Phun tay"/>
    <s v="Nhập khẩu"/>
    <n v="1000"/>
    <n v="2"/>
    <n v="332500"/>
    <x v="1"/>
    <n v="260000"/>
    <n v="665000"/>
    <n v="520000"/>
    <n v="0"/>
    <s v="Thành phần gồm: 0,053% Didecyldimethyl ammonium chloride +  0,064 % Chlorhexidine digluconate kết hợp 22,6% Ethanol. Khử khuẩn nhanh các bề mặt. Dung tích: 1 Lít/Chai"/>
    <n v="6"/>
    <n v="260000"/>
    <n v="0.1"/>
    <n v="0.39375923076923069"/>
  </r>
  <r>
    <n v="9"/>
    <n v="2025"/>
    <s v="KSNK"/>
    <s v="MB"/>
    <s v="Nguyễn Thị Tình"/>
    <s v="IB2500255370"/>
    <x v="33"/>
    <s v="Anios"/>
    <s v="Dentasept Aspiration AF+"/>
    <x v="7"/>
    <s v="Xử lý dụng cụ"/>
    <s v="Làm sạch và tiền KK"/>
    <s v="Nhập khẩu"/>
    <n v="5000"/>
    <n v="10"/>
    <n v="3312000"/>
    <x v="2"/>
    <m/>
    <n v="33120000"/>
    <n v="0"/>
    <n v="0.09"/>
    <s v="Hóa chất sử dụng cho tẩy rửa hệ thống rửa tay phòng mổ, khử khuẩn đường ống và diệt vi khuẩn._x000a_Dung tích: 5 Lít/Can"/>
    <n v="6"/>
    <n v="0"/>
    <m/>
    <m/>
  </r>
  <r>
    <n v="8"/>
    <n v="2025"/>
    <s v="KSNK"/>
    <s v="MN"/>
    <s v="Nguyễn Thái Hằng"/>
    <s v="IB2500128159"/>
    <x v="34"/>
    <s v="Anios"/>
    <s v="Wip'Anios Excel"/>
    <x v="3"/>
    <s v="Xử lý bề mặt"/>
    <s v="Khăn lau"/>
    <s v="Nhập khẩu"/>
    <n v="1"/>
    <n v="100"/>
    <n v="305000"/>
    <x v="1"/>
    <n v="245000"/>
    <n v="30500000"/>
    <n v="24500000"/>
    <n v="0.02"/>
    <s v=" "/>
    <n v="7"/>
    <n v="14291666.666666666"/>
    <n v="0.1"/>
    <n v="0.36423428571428568"/>
  </r>
  <r>
    <n v="9"/>
    <n v="2025"/>
    <s v="KSNK "/>
    <s v="MB"/>
    <s v="Phạm Thị Huyền Châm"/>
    <s v="IB2500207882"/>
    <x v="35"/>
    <s v="Anios"/>
    <s v="Aniosyme Synergy 5"/>
    <x v="9"/>
    <s v="Xử lý dụng cụ"/>
    <s v="Làm sạch và tiền KK"/>
    <s v="Nhập khẩu"/>
    <n v="1000"/>
    <n v="550"/>
    <n v="487000"/>
    <x v="1"/>
    <n v="440000"/>
    <n v="267850000"/>
    <n v="242000000"/>
    <n v="0.04"/>
    <s v="1. Hỗn hợp 5 enzyme 1%-3% protease, 0.1%-0.5% lipase, 0.1%-0.5% amylase, 0.1%-0.5% mannanase, 0.1%-0.5% cellulase_x000a_2. Dùng được cho máy rửa tự động và ngâm rửa thủ công, làm sạch dụng cụ, thiết bị y tế trước khi tiệt trùng hoặc khử khuẩn mức độ cao_x000a_Nồng độ sử dụng: từ 0.1% (máy rửa)_x000a_pH = 6.89-7.29_x000a_Thời gian: từ 5 phút_x000a_Phù hợp với mọi chất lượng nước khác nhau_x000a_4. Hiệu quả chống lại màng biofilm vi khuẩn Pseudomonas aeruginosa theo tiêu chuẩn ISO/TS 15883-5_x000a_Xuất xứ: Pháp_x000a_Đạt tiêu chuẩn ISO 13485"/>
    <n v="6"/>
    <n v="121000000"/>
    <n v="0.1"/>
    <n v="0.40493249999999992"/>
  </r>
  <r>
    <n v="9"/>
    <n v="2025"/>
    <s v="KSNK "/>
    <s v="MB"/>
    <s v="Phạm Thị Huyền Châm"/>
    <s v="IB2500207882"/>
    <x v="35"/>
    <s v="Metrex"/>
    <s v="EmPower Fragrance Free"/>
    <x v="9"/>
    <s v="Xử lý dụng cụ"/>
    <s v="Làm sạch và tiền KK"/>
    <s v="Nhập khẩu"/>
    <n v="1000"/>
    <n v="550"/>
    <n v="333000"/>
    <x v="1"/>
    <n v="440000"/>
    <n v="183150000"/>
    <n v="242000000"/>
    <n v="0.03"/>
    <s v="Dung dịch tẩy rửa đa Enzyme được sử dụng để làm sạch trước các dụng cụ, thiết bị y tế trước khi tiệt trùng hoặc khử khuẩn mức độ cao._x000a_- Thành phần: Dung dịch rửa dụng cụ y tế hoạt tính enzyme có chứa ≥ 04 loại enzyme và chất hoạt động bề mặt, trong đó có 02 enzyme protease giúp phá vỡ và loại bỏ máu, mô, chất nhầy và dịch cơ thể giàu protein khác khỏi dụng cụ._x000a_Enzyme protease 1 (Liquanase Everis 900L)  1-5%,_x000a_Enzyme protease 2 (Savinase Everis 900L)  &lt;1%_x000a_Emzyme amylase (Amplify Prime 100L) &lt; 1%,_x000a_Enzyme lipase (Lipex Evity 200L) &lt;1%_x000a_Propylene Glycol: 1-5%_x000a_- Công thức ít tạo bọt sử dụng được trên máy tự động, hệ thống làm sạch dụng cụ nha khoa._x000a_-  pH: 7.5-8.5_x000a_- Thời gian ngâm thủ công ≥ 01 phút._x000a_- Có thể sử dụng với nhiệt độ nước lên đến 55℃_x000a_- Có thể sử dụng được trên máy rửa tự động, bể rửa siêu âm_x000a_- Đạt tiêu chuẩn ISO, FDA hoặc tương đương_x000a_- Đóng gói: Can 3,8 lít_x000a_- Xuất xứ: Mỹ"/>
    <n v="6"/>
    <n v="121000000"/>
    <n v="0.1"/>
    <n v="0.40493249999999992"/>
  </r>
  <r>
    <n v="9"/>
    <n v="2025"/>
    <s v="KSNK "/>
    <s v="MB"/>
    <s v="Phạm Thị Huyền Châm"/>
    <s v="IB2500207882"/>
    <x v="35"/>
    <s v="Anios"/>
    <s v="Opaster'Anios"/>
    <x v="0"/>
    <s v="Xử lý dụng cụ"/>
    <s v="KK mức độ cao"/>
    <s v="Nhập khẩu"/>
    <n v="1000"/>
    <n v="3150"/>
    <n v="220000"/>
    <x v="1"/>
    <n v="196000"/>
    <n v="693000000"/>
    <n v="617400000"/>
    <n v="0.1"/>
    <s v="1. Thành phần: 0,55% Ortho- Phthalaldehyde,_x000a_2. Tái sử dụng trong 14 ngày (tặng kèm test thử để kiểm tra nồng độ OPA)._x000a_pH=7, dung dịch sẵn sàng sử dụng (không pha loãng)._x000a_3. Hiệu quả diệt khuẩn:_x000a_- Diệt các loại virus (Adenovirus, Norovirus MNV, Vacciniavirus,...), vi khuẩn lao, nấm,..._x000a_- Diệt khuẩn EN 14561 (Pseudomonas aeruginosa, Staphylococcus aureus, Enterococcus hirae...)_x000a_- Diệt nấm EN 14562 (Candida albicans, Aspergillus niger...)_x000a_- Diệt vi khuẩn lao EN 14563 (Mycobacterium terrae, Mycobacterium avium...)_x000a_- Diệt bào tử trong 30 phút theo EN 17126 (Clostridium difficile, Bacillus subtilis, Bacillus cereus)_x000a_- Diệt virus EN 17111 (Adenovirus...)_x000a_4. Có tài liệu chứng minh tương thích với ống nội soi hãng Olympus, Fujifilm,Pentax_x000a_6. Đạt tiêu chuẩn CE, ISO 13485, ISO 9001_x000a_Xuất xứ: Pháp"/>
    <n v="6"/>
    <n v="308700000"/>
    <n v="0.1"/>
    <n v="0.37779489795918364"/>
  </r>
  <r>
    <n v="9"/>
    <n v="2025"/>
    <s v="KSNK "/>
    <s v="MB"/>
    <s v="Phạm Thị Huyền Châm"/>
    <s v="IB2500207882"/>
    <x v="35"/>
    <s v="Metrex"/>
    <s v="MetriCide OPA Plus"/>
    <x v="0"/>
    <s v="Xử lý dụng cụ"/>
    <s v="KK mức độ cao"/>
    <s v="Nhập khẩu"/>
    <n v="1000"/>
    <n v="3150"/>
    <n v="218158"/>
    <x v="1"/>
    <n v="196000"/>
    <n v="687197700"/>
    <n v="617400000"/>
    <n v="0.1"/>
    <s v="- Thành phần: Ortho-phthalaldehyde 0,60%, có thể tái xử lý thủ công lên đến 30 ngày._x000a_- Hiệu quả diệt khuẩn, diệt nấm, diệt virus, diệt trực khuẩn lao Lao là 05 phút._x000a_- Hoạt tính diệt  khuẩn  trên vi sinh vật: Staphylococcus aureus, Salmonella choleraesuis, Pseudomonas aeruginosa, Mycobacterium bovis, Trichophyton mentagrophytes, Poliovirus Type 1, Rhinovirus Type 42, Hepatitis A (AER), HIV-1..._x000a_- pH = 7.0-7.8_x000a_- Không gây ăn mòn dụng cụ, không gây ảnh hưởng tới dụng cụ nội soi, không chứa chất làm mờ thấu kính của ống soi_x000a_- Đạt tiêu chuẩn ISO 13485, FDA_x000a_- Đóng gói: Can 3,8 lít_x000a_- Xuất xứ: Mỹ"/>
    <n v="6"/>
    <n v="308700000"/>
    <n v="0.1"/>
    <n v="0.37779489795918364"/>
  </r>
  <r>
    <n v="9"/>
    <n v="2025"/>
    <s v="KSNK "/>
    <s v="MB"/>
    <s v="Phạm Thị Huyền Châm"/>
    <s v="IB2500207882"/>
    <x v="35"/>
    <s v="Metrex"/>
    <s v="Cavicide1"/>
    <x v="5"/>
    <s v="Xử lý bề mặt"/>
    <s v="Phun tay"/>
    <s v="Nhập khẩu"/>
    <n v="710"/>
    <n v="800"/>
    <n v="280000"/>
    <x v="1"/>
    <n v="290000"/>
    <n v="224000000"/>
    <n v="232000000"/>
    <n v="0.03"/>
    <s v="Là dung dịch khử khuẩn bề mặt có cồn nồng độ thấp,_x000a_- Thành phần: Didecyldimethylammonium chloride: 0.76%. Ethanol 7.5%.  Isopropanol 15%_x000a_- Dung dịch khử khuẩn và làm sạch bề mặt trong phòng thí nghiệm, trong ICU; màn hình OLED, đầu dò siêu âm,..._x000a_- Hiệu quả  ≤ 01 phút tiêu diệt được ≥  25 vi sinh vật gây bệnh trong môi trường lâm sàng, trong đó có: Nấm Candida Auris, Trực khuẩn mủ xanh, Vi khuẩn lao, tụ cầu vàng, trực khuẩn mủ xanh, vi khuẩn đa kháng thuốc Acinetobacter Baumannii, virus ( HIV, HBV, HCV, HSV, Human Coronavirus…)._x000a_- Đóng gói Chai  710 ml_x000a_- Đạt tiêu chuẩn FDA_x000a_- Xuất xứ: Mỹ"/>
    <n v="6"/>
    <n v="116000000"/>
    <n v="0.1"/>
    <n v="0.44364620689655165"/>
  </r>
  <r>
    <n v="9"/>
    <n v="2025"/>
    <s v="KSNK "/>
    <s v="MB"/>
    <s v="Phạm Thị Huyền Châm"/>
    <s v="IB2500207882"/>
    <x v="35"/>
    <s v="Anios"/>
    <s v="Surfa'Safe Premium"/>
    <x v="8"/>
    <s v="Xử lý bề mặt"/>
    <s v="Phun tay"/>
    <s v="Nhập khẩu"/>
    <n v="750"/>
    <n v="800"/>
    <n v="420000"/>
    <x v="1"/>
    <n v="360000"/>
    <n v="336000000"/>
    <n v="288000000"/>
    <n v="0.05"/>
    <s v="1. Thành phần: 0.3% Didecyldimethyl ammonium chloride, chất HĐBM, không chứa cồn_x000a_2. Mục đích sử dụng: Làm sạch và khử khuẩn bề mặt trang thiết bị y tế_x000a_Tương thích với Polycarbonate, plexiglas._x000a_Đầu phun tạo bọt._x000a_Thời gian tiếp xúc: từ 2 phút_x000a_3. Hiệu quả diệt khuẩn theo EN 16615 (Enterococcus hirae, Pseudomonas aeruginosa, Staphylococcus aureus)_x000a_Diệt virus theo tiêu chuẩn EN 14476 (Adenovirus, Norovirus Murine MNV)_x000a_4. Đạt tiêu chuẩn CE, ISO 13485, ISO 9001_x000a_Quy cách: Chai 750ml"/>
    <n v="6"/>
    <n v="144000000"/>
    <n v="0.1"/>
    <n v="0.56480833333333336"/>
  </r>
  <r>
    <n v="9"/>
    <n v="2025"/>
    <s v="KSNK "/>
    <s v="MB"/>
    <s v="Phạm Thị Huyền Châm"/>
    <s v="IB2500207882"/>
    <x v="35"/>
    <s v="BORER"/>
    <s v="deconex® TWIN ZYME xpert"/>
    <x v="9"/>
    <s v="Xử lý dụng cụ"/>
    <s v="Làm sạch và tiền KK"/>
    <s v="Nhập khẩu"/>
    <n v="1000"/>
    <n v="120"/>
    <n v="1411100"/>
    <x v="1"/>
    <n v="440000"/>
    <n v="169332000"/>
    <n v="52800000"/>
    <n v="0.03"/>
    <s v="Theo thông tin chi tiết tại Bảng danh mục hàng hóa dự thầu"/>
    <n v="6"/>
    <n v="26400000"/>
    <n v="0.1"/>
    <n v="0.40493249999999992"/>
  </r>
  <r>
    <n v="9"/>
    <n v="2025"/>
    <s v="KSNK "/>
    <s v="MB"/>
    <s v="Hứa Thùy Linh"/>
    <s v="IB2500263280"/>
    <x v="36"/>
    <s v="Asp"/>
    <s v="Cidex Opa"/>
    <x v="0"/>
    <s v="Xử lý dụng cụ"/>
    <s v="KK mức độ cao"/>
    <s v="Nhập khẩu"/>
    <n v="3780"/>
    <n v="200"/>
    <n v="916000"/>
    <x v="1"/>
    <n v="980000"/>
    <n v="183200000"/>
    <n v="196000000"/>
    <n v="0.09"/>
    <s v="- Dung dịch khử khuẩn mức độ cao,  thành phần ORTHO-PHTHALADEHYDE 0,55%, Benzotriazole 0,01% và các thành phần khác; PH 7.2 - 7.8_x000a_- Thời gian ngâm khử khuẩn mức độ cao cho dụng cụ là 5 phút, tái sử dụng trong vòng 14 ngày. Thời gian bảo quản dung dịch trong can là 75 ngày tính từ khi mở nắp._x000a_- Không gây ăn mòn dụng cụ, tương thích với nhiều loại dụng cụ và vật liệu (kể cả Polystyrene, Cyanoacrylate)._x000a_Tương thích với dụng cụ của các hãng sản xuất dụng cụ nội soi (Olympus, Pentax, Karl Storz,...)_x000a_- Diệt được hầu hết các loại vi khuẩn, vi rút, Trực khuẩn lao (Mycobacterium bovis) theo các tiêu chuẩn: EN 13727, EN 14561, EN 13624, EN 14562, EN 14348, EN 14563, EN 14476_x000a_- Môi trường sử dụng không cần thông khí đặc biệt. Có thể dùng cho quy trình xử lý bằng tay và bằng máy._x000a_- Cam kết cung cấp test thử đi kèm đảm bảo quy trình test hàng ngày_x000a_- Đạt các tiêu chuẩn: EC, ISO, CFS Đức, Thụy Sỹ"/>
    <n v="6"/>
    <n v="98000000"/>
    <n v="0.1"/>
    <n v="0.37779489795918364"/>
  </r>
  <r>
    <n v="9"/>
    <n v="2025"/>
    <s v="KSNK "/>
    <s v="MB"/>
    <s v="Hứa Thùy Linh"/>
    <s v="IB2500263280"/>
    <x v="36"/>
    <s v="Asp"/>
    <s v="Cidezyme"/>
    <x v="9"/>
    <s v="Xử lý dụng cụ"/>
    <s v="Làm sạch và tiền KK"/>
    <s v="Nhập khẩu"/>
    <n v="1000"/>
    <n v="605"/>
    <n v="568008"/>
    <x v="1"/>
    <n v="440000"/>
    <n v="343644840"/>
    <n v="266200000"/>
    <n v="0.16"/>
    <s v="Dung dịch ngâm tẩy rửa dụng cụ hoạt tính enzyme:_x000a_- Thành phần: protease subtilisin 0,5%,  chất hoạt động bề mặt lưỡng tính, chất ổn định chống ăn mòn và các thành phần khác, hiệu quả nhanh sau 1 phút._x000a_- PH trung tính: 7.8-8.8, không gây ăn mòn dụng cụ_x000a_- Ít bọt, hương bạc hà dễ chịu, át được mùi của dụng cụ bẩn,  không gây kích ứng._x000a_- Tương thích với nhiều loại dụng cụ, vật liệu phi kim loại (Silicone, cao su, PTFE, Polyurethane) và kim loại (thép không gỉ, nhôm)_x000a_- Đạt các tiêu chuẩn: EC"/>
    <n v="6"/>
    <n v="133100000"/>
    <n v="0.1"/>
    <n v="0.40493249999999992"/>
  </r>
  <r>
    <n v="9"/>
    <n v="2025"/>
    <s v="KSNK "/>
    <s v="MB"/>
    <s v="Hứa Thùy Linh"/>
    <s v="IB2500263280"/>
    <x v="36"/>
    <s v="Anios"/>
    <s v="Surfa'Safe Premium"/>
    <x v="8"/>
    <s v="Xử lý bề mặt"/>
    <s v="Phun tay"/>
    <s v="Nhập khẩu"/>
    <n v="1000"/>
    <n v="795"/>
    <n v="395500"/>
    <x v="1"/>
    <n v="360000"/>
    <n v="314422500"/>
    <n v="286200000"/>
    <n v="0.15"/>
    <s v="Tham chiếu tại &quot;Bảng danh mục hàng hóa dự thầu&quot;"/>
    <n v="6"/>
    <n v="143100000"/>
    <n v="0.1"/>
    <n v="0.56480833333333336"/>
  </r>
  <r>
    <n v="9"/>
    <n v="2025"/>
    <s v="KSNK"/>
    <s v="MN"/>
    <s v="Nguyễn Thị Xuân Hồng"/>
    <s v="IB2500370002"/>
    <x v="37"/>
    <s v="Anios"/>
    <s v="Anios’Clean Excel D"/>
    <x v="1"/>
    <s v="Xử lý dụng cụ"/>
    <s v="Làm sạch và tiền KK"/>
    <s v="Nhập khẩu"/>
    <n v="5000"/>
    <n v="75"/>
    <n v="1748240"/>
    <x v="1"/>
    <n v="1450000"/>
    <n v="131118000"/>
    <n v="108750000"/>
    <n v="0.74"/>
    <s v=" "/>
    <n v="6"/>
    <n v="54375000"/>
    <n v="0.1"/>
    <n v="0.45095172413793105"/>
  </r>
  <r>
    <n v="10"/>
    <n v="2025"/>
    <s v="KSNK"/>
    <s v="MB"/>
    <s v="Nguyễn Thị Tình"/>
    <s v="IB2500426060"/>
    <x v="38"/>
    <s v="Anios"/>
    <s v="Wip'Anios Excel"/>
    <x v="13"/>
    <s v="Xử lý bề mặt"/>
    <s v="Khăn lau"/>
    <s v="Nhập khẩu"/>
    <n v="100"/>
    <n v="1000"/>
    <n v="290000"/>
    <x v="2"/>
    <m/>
    <n v="290000000"/>
    <n v="0"/>
    <n v="1"/>
    <s v="Khăn tẩm dung dịch Didecyldimethyl ammonium chloride 0.3% và không chứa cồn_x000a_Làm sạch &amp; khử khuẩn bề mặt, lau sơ bộ ống nội soi trước khi ngâm làm sạch và khử khuẩn_x000a_Phân hủy vi sinh 100%_x000a_Đạt tiêu chuẩn EN 16615_x000a_Thời gian tiếp xúc: từ 2 phút_x000a_Diệt virus theo tiêu chuẩn EN 14476_x000a_Ổn định trong 3 tháng kể từ ngày mở túi"/>
    <n v="5"/>
    <n v="0"/>
    <m/>
    <m/>
  </r>
  <r>
    <n v="7"/>
    <n v="2025"/>
    <s v="KSNK"/>
    <s v="MB"/>
    <s v="Nguyễn Thị Tình"/>
    <s v="IB2500234416"/>
    <x v="27"/>
    <s v="Anios"/>
    <s v="Wip'Anios Excel"/>
    <x v="3"/>
    <s v="Xử lý bề mặt"/>
    <s v="Khăn lau"/>
    <s v="Nhập khẩu"/>
    <n v="100"/>
    <n v="1100"/>
    <n v="310000"/>
    <x v="1"/>
    <n v="245000"/>
    <n v="341000000"/>
    <n v="269500000"/>
    <n v="1"/>
    <s v=" "/>
    <n v="8"/>
    <n v="179666666.66666666"/>
    <n v="0.1"/>
    <n v="0.36423428571428568"/>
  </r>
  <r>
    <n v="9"/>
    <n v="2025"/>
    <s v="KSNK"/>
    <s v="MB"/>
    <s v="Hứa Thùy Linh"/>
    <s v="IB2500356023"/>
    <x v="39"/>
    <s v="Anios"/>
    <s v="Steranios 2%"/>
    <x v="6"/>
    <s v="Xử lý dụng cụ"/>
    <s v="KK mức độ cao"/>
    <s v="Nhập khẩu"/>
    <n v="5000"/>
    <n v="10"/>
    <n v="571800"/>
    <x v="1"/>
    <n v="428925"/>
    <n v="5718000"/>
    <n v="4289250"/>
    <n v="0.02"/>
    <s v="Chi tiết như Bảng danh mục hàng hóa dự thầu và Bảng chào đáp ứng kỹ thuật đính kèm E-HSDT"/>
    <n v="6"/>
    <n v="2144625"/>
    <n v="0.1"/>
    <n v="0.42921559713236579"/>
  </r>
  <r>
    <n v="9"/>
    <n v="2025"/>
    <s v="KSNK"/>
    <s v="MB"/>
    <s v="Hứa Thùy Linh"/>
    <s v="IB2500356023"/>
    <x v="39"/>
    <s v="Anios"/>
    <s v="Opaster'Anios"/>
    <x v="0"/>
    <s v="Xử lý dụng cụ"/>
    <s v="KK mức độ cao"/>
    <s v="Nhập khẩu"/>
    <n v="5000"/>
    <n v="60"/>
    <n v="1348000"/>
    <x v="1"/>
    <n v="980000"/>
    <n v="80880000"/>
    <n v="58800000"/>
    <n v="0.24"/>
    <s v="Chi tiết như Bảng danh mục hàng hóa dự thầu và Bảng chào đáp ứng kỹ thuật đính kèm E-HSDT"/>
    <n v="6"/>
    <n v="29400000"/>
    <n v="0.1"/>
    <n v="0.37779489795918364"/>
  </r>
  <r>
    <n v="9"/>
    <n v="2025"/>
    <s v="KSNK"/>
    <s v="MB"/>
    <s v="Hứa Thùy Linh"/>
    <s v="IB2500356023"/>
    <x v="39"/>
    <s v="Anios"/>
    <s v="Aniosyme Synergy 5"/>
    <x v="9"/>
    <s v="Xử lý dụng cụ"/>
    <s v="Làm sạch và tiền KK"/>
    <s v="Nhập khẩu"/>
    <n v="1000"/>
    <n v="50"/>
    <n v="627000"/>
    <x v="1"/>
    <n v="440000"/>
    <n v="31350000"/>
    <n v="22000000"/>
    <n v="0.09"/>
    <s v="Chi tiết như Bảng danh mục hàng hóa dự thầu và Bảng chào đáp ứng kỹ thuật đính kèm E-HSDT"/>
    <n v="6"/>
    <n v="11000000"/>
    <n v="0.1"/>
    <n v="0.40493249999999992"/>
  </r>
  <r>
    <n v="9"/>
    <n v="2025"/>
    <s v="KSNK"/>
    <s v="MB"/>
    <s v="Hứa Thùy Linh"/>
    <s v="IB2500356023"/>
    <x v="39"/>
    <s v="Bbraun"/>
    <s v="Meliseptol® rapid"/>
    <x v="5"/>
    <s v="Xử lý bề mặt"/>
    <s v="Phun tay"/>
    <s v="Nhập khẩu"/>
    <n v="1000"/>
    <n v="5"/>
    <n v="397000"/>
    <x v="1"/>
    <n v="260000"/>
    <n v="1985000"/>
    <n v="1300000"/>
    <n v="0.01"/>
    <s v="Chi tiết như Bảng danh mục hàng hóa dự thầu và Bảng chào đáp ứng kỹ thuật đính kèm E-HSDT"/>
    <n v="6"/>
    <n v="650000"/>
    <n v="0.1"/>
    <n v="0.39375923076923069"/>
  </r>
  <r>
    <n v="9"/>
    <n v="2025"/>
    <s v="KSNK"/>
    <s v="MB"/>
    <s v="Hứa Thùy Linh"/>
    <s v="IB2500368929"/>
    <x v="40"/>
    <s v="Anios"/>
    <s v="Opaster'Anios"/>
    <x v="0"/>
    <s v="Xử lý dụng cụ"/>
    <s v="KK mức độ cao"/>
    <s v="Nhập khẩu"/>
    <n v="1000"/>
    <n v="500"/>
    <n v="240000"/>
    <x v="1"/>
    <n v="196000"/>
    <n v="120000000"/>
    <n v="98000000"/>
    <n v="0.51"/>
    <s v="Theo quy định tại Chương V."/>
    <n v="6"/>
    <n v="49000000"/>
    <n v="0.1"/>
    <n v="0.37779489795918364"/>
  </r>
  <r>
    <n v="9"/>
    <n v="2025"/>
    <s v="KSNK"/>
    <s v="MB"/>
    <s v="Hứa Thùy Linh"/>
    <s v="IB2500368929"/>
    <x v="40"/>
    <s v="Anios"/>
    <s v="Steranios 2%"/>
    <x v="6"/>
    <s v="Xử lý dụng cụ"/>
    <s v="KK mức độ cao"/>
    <s v="Nhập khẩu"/>
    <n v="1000"/>
    <n v="100"/>
    <n v="95000"/>
    <x v="1"/>
    <n v="85785"/>
    <n v="9500000"/>
    <n v="8578500"/>
    <n v="0.04"/>
    <s v="Theo quy định tại Chương V."/>
    <n v="6"/>
    <n v="4289250"/>
    <n v="0.1"/>
    <n v="0.42921559713236579"/>
  </r>
  <r>
    <n v="10"/>
    <n v="2025"/>
    <s v="KSNK"/>
    <s v="MB"/>
    <s v="Nguyễn Thị Tình"/>
    <s v="IB2500348891"/>
    <x v="27"/>
    <s v="Metrex"/>
    <s v="Caviwipes 1"/>
    <x v="14"/>
    <s v="Xử lý bề mặt"/>
    <s v="Khăn lau"/>
    <s v="Nhập khẩu"/>
    <n v="160"/>
    <n v="682"/>
    <n v="280000"/>
    <x v="2"/>
    <m/>
    <n v="190960000"/>
    <n v="0"/>
    <n v="1"/>
    <s v="Là khăn lau khử khuẩn bề mặt có cồn nồng độ thấp._x000a_- Thành phần: Didecyldimethylammonium chloride ≤ 0,76%. Ethanol ≤ 7,5%. Isopropanol ≤ 15%_x000a_- Hiệu quả ≤ 01 phút tiêu diệt được ≥ 25 vi sinh vật gây bệnh trong môi trường lâm sàng, trong đó có: Nấm Candida Auris, Trực khuẩn mủ xanh, Vi khuẩn lao; Các vi khuẩn đa kháng thuốc như: A. baumannii, Tụ cầu vàng (MRSA, MRSE, VISA), CRKP, ESBL, VRE._x000a_- Có chứng nhận của Cơ quan, tổ chức từ các nước G7 về các công bố trên nhãn sản phẩm._x000a_- Khăn kích thước (Dài xRộng): 15 x17cm làm bằng vải không dệt._x000a_- Đóng gói Hộp: 160 khăn_x000a_- Đạt tiêu chuẩn FDA (Mỹ)_x000a_- Xuất xứ: Mỹ"/>
    <n v="5"/>
    <n v="0"/>
    <m/>
    <m/>
  </r>
  <r>
    <n v="9"/>
    <n v="2025"/>
    <s v="KSNK"/>
    <s v="MB"/>
    <s v="Hứa Thùy Linh"/>
    <s v="IB2500403792"/>
    <x v="24"/>
    <s v="Bbraun"/>
    <s v="Stabimed Fresh"/>
    <x v="1"/>
    <s v="Xử lý dụng cụ"/>
    <s v="Làm sạch và tiền KK"/>
    <s v="Nhập khẩu"/>
    <n v="5000"/>
    <n v="450"/>
    <n v="2254980"/>
    <x v="1"/>
    <n v="1450000"/>
    <n v="1014741000"/>
    <n v="652500000"/>
    <n v="0.44"/>
    <s v="Dung dịch khử khuẩn và làm sạch dụng cụ y tế_x000a_- Thành phần: chứa Cocopropylene Diamine nồng độ ~20% kl/kl;_x000a_- Nhiệt độ bảo quản: Nhiệt độ thường._x000a_- Sản xuất đạt tiêu chuẩn chất lượng ISO 13485 đạt tiêu chuẩn CE"/>
    <n v="6"/>
    <n v="326250000"/>
    <n v="0.1"/>
    <n v="0.45095172413793105"/>
  </r>
  <r>
    <n v="10"/>
    <n v="2025"/>
    <s v="KSNK"/>
    <s v="MB"/>
    <s v="Nguyễn Thị Tình"/>
    <s v="IB2500425405"/>
    <x v="41"/>
    <s v="Asp"/>
    <s v="Cidex Opa"/>
    <x v="4"/>
    <s v="Xử lý dụng cụ"/>
    <s v="KK mức độ cao"/>
    <s v="Nhập khẩu"/>
    <n v="3780"/>
    <n v="160"/>
    <n v="1055000"/>
    <x v="2"/>
    <m/>
    <n v="168800000"/>
    <n v="0"/>
    <n v="0.45"/>
    <s v="Dung dịch chứa 0,55% hoạt chất Ortho-Phthaldehyde và 99,45% thành phần trơ."/>
    <n v="5"/>
    <n v="0"/>
    <m/>
    <m/>
  </r>
  <r>
    <n v="10"/>
    <n v="2025"/>
    <s v="KSNK"/>
    <s v="MB"/>
    <s v="Nguyễn Thị Tình"/>
    <s v="IB2500425405"/>
    <x v="41"/>
    <s v="Asp"/>
    <s v="Cidezyme"/>
    <x v="4"/>
    <s v="Xử lý dụng cụ"/>
    <s v="Làm sạch và tiền KK"/>
    <s v="Nhập khẩu"/>
    <n v="1000"/>
    <n v="100"/>
    <n v="700000"/>
    <x v="2"/>
    <m/>
    <n v="70000000"/>
    <n v="0"/>
    <n v="0.19"/>
    <s v="Dung dịch tẩy rửa dụng cụ y tế hoạt tính enzym."/>
    <n v="5"/>
    <n v="0"/>
    <m/>
    <m/>
  </r>
  <r>
    <n v="9"/>
    <n v="2025"/>
    <s v="KSNK"/>
    <s v="MN"/>
    <s v="Huỳnh Thị Thùy Linh"/>
    <s v="IB2500129858"/>
    <x v="42"/>
    <s v="Anios"/>
    <s v="Aniosyme X3 "/>
    <x v="2"/>
    <s v="Xử lý dụng cụ"/>
    <s v="Làm sạch và tiền KK"/>
    <s v="Nhập khẩu"/>
    <n v="1000"/>
    <n v="350"/>
    <n v="537600"/>
    <x v="1"/>
    <n v="530000"/>
    <n v="188160000"/>
    <n v="185500000"/>
    <n v="0.21"/>
    <s v="Thành phần: Quaternary ammonium propionate + Chlorhexidine digluconate + Hỗn hợp 3 enzym: Protease, lipase và amylase."/>
    <n v="6"/>
    <n v="92750000"/>
    <n v="0.1"/>
    <n v="0.41266981132075475"/>
  </r>
  <r>
    <n v="10"/>
    <n v="2025"/>
    <s v="KSNK"/>
    <s v="MN"/>
    <s v="Huỳnh Thị Thùy Linh"/>
    <s v="IB2500324246"/>
    <x v="43"/>
    <s v="Anios"/>
    <s v="Aniosyme X3"/>
    <x v="2"/>
    <s v="Xử lý dụng cụ"/>
    <s v="Làm sạch và tiền KK"/>
    <s v="Nhập khẩu"/>
    <n v="1000"/>
    <n v="300"/>
    <n v="577668"/>
    <x v="1"/>
    <n v="530000"/>
    <n v="173300400"/>
    <n v="159000000"/>
    <n v="0.05"/>
    <s v="1. Thành phần: 14% N,N-Didecyl-N-Methylpoly(oxyethyl)ammonium propionate + 0,3% Chlorhexidine digluconate, hỗn hợp 3 enzym: 0.5%-2%_x000a_Protease, 0.1%-0.5% Lipase, 0.1%-0.5% Amylase, chất_x000a_hoạt động bề mặt_x000a_2. Làm sạch và khử nhiễm._x000a_Thời gian tiếp xúc: từ 5 phút_x000a_Nồng độ sử dụng 0.5% (25ml dung dịch trong 5 lít_x000a_nước)_x000a_3. Đạt tiêu chuẩn: ISO 15883 (chống lại màng Biofilm)_x000a_4. Hiệu quả diệt khuẩn: Diệt khuẩn EN 14561 (Staphylococcus aureus,_x000a_Pseudomonas aeruginosa, Enterococcus hirae...)_x000a_Diệt virus EN 14476 (HIV-1, HBV, HCV,HSV 1...)_x000a_Diệt virus có vỏ bọc theo tiêu chuẩn EN 17111_x000a_(Vaccinia virus...)"/>
    <n v="5"/>
    <n v="66250000"/>
    <n v="0.1"/>
    <n v="0.41266981132075475"/>
  </r>
  <r>
    <n v="10"/>
    <n v="2025"/>
    <s v="KSNK"/>
    <s v="MN"/>
    <s v="Huỳnh Thị Thùy Linh"/>
    <s v="IB2500324246"/>
    <x v="43"/>
    <s v="Anios"/>
    <s v="Aniosyme Synergy 5"/>
    <x v="10"/>
    <s v="Xử lý dụng cụ"/>
    <s v="Làm sạch và tiền KK"/>
    <s v="Nhập khẩu"/>
    <n v="5000"/>
    <n v="1000"/>
    <n v="440000"/>
    <x v="1"/>
    <n v="440000"/>
    <n v="440000000"/>
    <n v="440000000"/>
    <n v="0.14000000000000001"/>
    <s v="1. Hồn hợp 5 enzyme 1%-3% protease, 0.1%-0.5% lipase, 0.1%-0.5% amylase, 0.1%-0.5% mannanase, 0.1%-0.5% cellulase.2. Dùng được cho máy rửa tự động_x000a_và ngâm rửa thủ côngNỗng độ sử dụng: từ 0.1% (máy rửa)pH = 6.89-7.29Thời gian: từ 5 phút_x000a_Phù hợp với mọi chất lượng nước khác nhau3. Đạt tiêu chuẩn ISO 11930 (Khả năng kháng khuẩn của sản phẩm)4. Hiệu quả_x000a_chống lại màng biofilm vi khuẩn Pseudomonas aeruginosa theo tiêu chuẩn ISO/TS 15883-5."/>
    <n v="5"/>
    <n v="183333333.33333334"/>
    <n v="0.1"/>
    <n v="0.45982349999999983"/>
  </r>
  <r>
    <n v="10"/>
    <n v="2025"/>
    <s v="KSNK"/>
    <s v="MN"/>
    <s v="Huỳnh Thị Thùy Linh"/>
    <s v="IB2500324246"/>
    <x v="43"/>
    <s v="Anios"/>
    <s v="Steranios 2%"/>
    <x v="6"/>
    <s v="Xử lý dụng cụ"/>
    <s v="KK mức độ cao"/>
    <s v="Nhập khẩu"/>
    <n v="5000"/>
    <n v="160"/>
    <n v="460000"/>
    <x v="1"/>
    <n v="428925"/>
    <n v="73600000"/>
    <n v="68628000"/>
    <n v="0.02"/>
    <s v="1. Thành phần: 2% Glutaraldehyde_x000a_2. không cần hoạt hóa, pH=6_x000a_Khử khuẩn mức độ cao: 10 phút._x000a_Tái sử dụng trong 30 ngày (tặng kèm test thử)_x000a_3. Hạn sử dụng sau mở nắp: 3 năm_x000a_4. Hiệu quả diệt khuẩn: - Diệt khuẩn EN 14561 (Enterococcus hirae,_x000a_Pseudomonas aeruginosa, Staphylococcus aureus...) - Diệt nấm EN 14562 (Candida albicans, Aspergillus_x000a_niger...) - Diệt vi khuẩn lao EN 14563 (Mycobacterium terrae,_x000a_Mycobacterium avium...) - Diệt bào tử trong 120 phút theo EN 17126_x000a_(Clostridium difficile, Bacillus cereus, Bacillus subtilis) - Diệt virus EN 17111 (Adenovirus...)"/>
    <n v="5"/>
    <n v="28595000"/>
    <n v="0.1"/>
    <n v="0.42921559713236579"/>
  </r>
  <r>
    <n v="10"/>
    <n v="2025"/>
    <s v="KSNK"/>
    <s v="MN"/>
    <s v="Huỳnh Thị Thùy Linh"/>
    <s v="IB2500324246"/>
    <x v="43"/>
    <s v="Anios"/>
    <s v="Opaster'Anios"/>
    <x v="0"/>
    <s v="Xử lý dụng cụ"/>
    <s v="KK mức độ cao"/>
    <s v="Nhập khẩu"/>
    <n v="5000"/>
    <n v="300"/>
    <n v="1100000"/>
    <x v="1"/>
    <n v="980000"/>
    <n v="330000000"/>
    <n v="294000000"/>
    <n v="0.1"/>
    <s v="1.Thành  phần:  0,55%  Ortho-Phthalaldehyde,_x000a_2. pH=7, dung dịch sẵn sàng_x000a_ sử dụng (không pha loãng)._x000a_Khử khuẩn mức độ cao trong 5 phút._x000a_Tái sử dụng trong 14 ngày (tặng kèm test thử để kiểm tra_x000a_nồng độ OPA)._x000a_3. Hiệu quả diệt khuẩn: - Diệt khuẩn EN 14561 (Pseudomonas aeruginosa,_x000a_Staphylococcus aureus, Enterococcus hirae...) - Diệt nấm EN 14562 (Candida albicans, Aspergillus_x000a_niger...) - Diệt vi khuẩn lao EN 14563 (Mycobacterium terrae,_x000a_Mycobacterium avium...) - Diệt bảo tử trong 30 phút theo EN 17126 (Clostridium_x000a_difficile, Bacillus subtilis, Bacillus cereus) - Diệt virus EN 17111 (Adenovirus...)_x000a_4. Thời gian bảo quản dung dịch trong can sau khi mở_x000a_nắp trên 3 tháng._x000a_5. Có tài liệu chứng minh tương thích với ống nôi soi_x000a_hãng Olympus/Fujifilm/Pentax/Karl Stozr"/>
    <n v="5"/>
    <n v="122500000"/>
    <n v="0.1"/>
    <n v="0.37779489795918364"/>
  </r>
  <r>
    <n v="10"/>
    <n v="2025"/>
    <s v="KSNK"/>
    <s v="MN"/>
    <s v="Huỳnh Thị Thùy Linh"/>
    <s v="IB2500324246"/>
    <x v="43"/>
    <s v="Anios"/>
    <s v="Surfa'Safe Premium"/>
    <x v="8"/>
    <s v="Xử lý bề mặt"/>
    <s v="Phun tay"/>
    <s v="Nhập khẩu"/>
    <n v="750"/>
    <n v="200"/>
    <n v="400260"/>
    <x v="1"/>
    <n v="360000"/>
    <n v="80052000"/>
    <n v="72000000"/>
    <n v="0.03"/>
    <s v="1. Thành phần: 0.3% Didecyldimethyl ammonium_x000a_chloride, chất HĐBM, không chứa cồn_x000a_2. Làm sạch và khử khuẩn bề mặt trang thiết bị y tế._x000a_Tương thích với Polycarbonate, plexiglas._x000a_Đầu phun tạo bọt._x000a_Thời gian tiếp xúc: từ 2 phút_x000a_3. Hiệu quả diệt khuẩn theo EN 16615 (Enterococcus_x000a_hirae, Pseudomonas aeruginosa, Staphylococcus aureus)_x000a_Diệt virus theo tiêu chuẩn EN 14476 (Adenovirus,_x000a_Norovirus Murine MNV)"/>
    <n v="5"/>
    <n v="30000000"/>
    <n v="0.1"/>
    <n v="0.56480833333333336"/>
  </r>
  <r>
    <n v="9"/>
    <n v="2025"/>
    <s v="KSNK"/>
    <s v="MN"/>
    <s v="Nguyễn Thị Kim Ngọc"/>
    <s v="IB2500160742"/>
    <x v="44"/>
    <s v="Anios"/>
    <s v="Anios’Clean Excel D"/>
    <x v="1"/>
    <s v="Xử lý dụng cụ"/>
    <s v="Làm sạch và tiền KK"/>
    <s v="Nhập khẩu"/>
    <n v="5000"/>
    <n v="6"/>
    <n v="1701000"/>
    <x v="1"/>
    <n v="1450000"/>
    <n v="10206000"/>
    <n v="8700000"/>
    <n v="0.36"/>
    <s v="Nước sát trùng bề mặt_x000a_Thành phần: 6,5% Didecyldimethyl ammonium chloride + 0,074% Chlorhexidine digluconate, chất hoạt động bề mặt non-ionic._x000a_Làm sạch và khử khuẩn dụng cụ y tế._x000a_Nồng độ sử dụng 0,5%, pH = 6.6 - 7.6_x000a_Thời gian tiếp xúc: từ 5 phút_x000a_Diệt virus HIV-1, HBV, HCV, HSV, Vacinia theo tiêu chuẩn châu Âu EN 17111_x000a_Đạt tiêu chuẩn ISO 15883, diệt khuẩn EN 14561, EN 14562, EN 14563, EN 17111_x000a_5L/can"/>
    <n v="6"/>
    <n v="4350000"/>
    <n v="0.1"/>
    <n v="0.45095172413793105"/>
  </r>
  <r>
    <n v="10"/>
    <n v="2025"/>
    <s v="KSNK"/>
    <s v="MN"/>
    <s v="Nguyễn Thị Xuân Hồng"/>
    <s v="IB2500403058"/>
    <x v="45"/>
    <s v="Asp"/>
    <s v="Cidex Opa"/>
    <x v="15"/>
    <s v="Xử lý dụng cụ"/>
    <s v="KK mức độ cao"/>
    <s v="Nhập khẩu"/>
    <n v="3780"/>
    <n v="1"/>
    <n v="2350000"/>
    <x v="5"/>
    <m/>
    <n v="2350000"/>
    <n v="0"/>
    <n v="1"/>
    <s v="Hoạt chất Ortho-Phthaldehyde: 0,55% và thành phần trơ: 99,45%"/>
    <n v="5"/>
    <n v="0"/>
    <m/>
    <m/>
  </r>
  <r>
    <n v="10"/>
    <n v="2025"/>
    <s v="KSNK"/>
    <s v="MN"/>
    <s v="Huỳnh Thị Thùy Linh"/>
    <s v="IB2500365134"/>
    <x v="46"/>
    <s v="Anios"/>
    <s v="Anios’Clean Excel D"/>
    <x v="11"/>
    <s v="Xử lý dụng cụ"/>
    <s v="Làm sạch và tiền KK"/>
    <s v="Nhập khẩu"/>
    <n v="1000"/>
    <n v="2"/>
    <n v="481000"/>
    <x v="0"/>
    <n v="268800"/>
    <n v="962000"/>
    <n v="537600"/>
    <n v="0.04"/>
    <s v=" "/>
    <n v="5"/>
    <n v="224000"/>
    <n v="0"/>
    <n v="0.49007812499999998"/>
  </r>
  <r>
    <n v="10"/>
    <n v="2025"/>
    <s v="KSNK"/>
    <s v="MN"/>
    <s v="Huỳnh Thị Thùy Linh"/>
    <s v="IB2500365134"/>
    <x v="46"/>
    <s v="Anios"/>
    <s v="Anios’Clean Excel D"/>
    <x v="1"/>
    <s v="Xử lý dụng cụ"/>
    <s v="Làm sạch và tiền KK"/>
    <s v="Nhập khẩu"/>
    <n v="5000"/>
    <n v="5"/>
    <n v="1960000"/>
    <x v="0"/>
    <n v="1218000"/>
    <n v="9800000"/>
    <n v="6090000"/>
    <n v="0.4"/>
    <s v=" "/>
    <n v="5"/>
    <n v="2537500"/>
    <n v="0"/>
    <n v="0.49399014778325123"/>
  </r>
  <r>
    <n v="10"/>
    <n v="2025"/>
    <s v="KSNK"/>
    <s v="MN"/>
    <s v="Nguyễn Thị Xuân Hồng"/>
    <s v="IB2500279728"/>
    <x v="47"/>
    <s v="Asp"/>
    <s v="Cidex Opa"/>
    <x v="15"/>
    <s v="Xử lý dụng cụ"/>
    <s v="KK mức độ cao"/>
    <s v="Nhập khẩu"/>
    <n v="3780"/>
    <n v="20"/>
    <n v="891030"/>
    <x v="5"/>
    <m/>
    <n v="17820600"/>
    <n v="0"/>
    <n v="1"/>
    <s v="Dung dịch khử khuẩn mức độ cao, _x000a_thành phần ORTHO-PHTHALADEHYDE 0,55%, Benzotriazole 0,01% và các thành phần khác, pH 7.2 - 7.8,_x000a_- Thời gian ngâm khử khuẩn mức độ cao cho dụng cụ là 5 phút, tái sử dụng trong vòng 14 ngày. Thời gian bảo quản dung dịch trong can là 75 ngày tính từ khi mở nắp._x000a_- Không gây ăn mòn dụng cụ, tương thích với nhiều loại dụng cụ và vật liệu (kể cả Polystyrene, Cyanoacrylate, EPO - TEK 353 epoxy), có que thử._x000a_- Tương thích với dụng cụ của các hãng sản xuất dụng cụ nội soi (Olympus, Pentax, GE, Karl Storz, đèn nội soi Fujinon)_x000a_- Diệt được hầu hết các loại vi khuẩn, vi rút, nấm, Trực khuẩn lao (Mycobacterium bovis), theo các tiêu chuẩn: EN 13727, EN 13624, EN 14348, EN 14563, EN 14476_x000a_- Môi trường sử dụng không cần thông khí đặc biệt. Có thể dùng cho quy trình xử lý bằng tay và bằng máy._x000a_- Đạt các tiêu chuẩn: EC, ISO 13485, CFS"/>
    <n v="5"/>
    <n v="0"/>
    <m/>
    <m/>
  </r>
  <r>
    <n v="6"/>
    <n v="2025"/>
    <s v="KSNK"/>
    <s v="MN"/>
    <s v="Vũ Hải Dương"/>
    <s v="IB2500166074"/>
    <x v="48"/>
    <s v="Anios"/>
    <s v="Wip'Anios Excel"/>
    <x v="3"/>
    <s v="Xử lý bề mặt"/>
    <s v="Khăn lau"/>
    <s v="Nhập khẩu"/>
    <n v="100"/>
    <n v="100"/>
    <n v="305000"/>
    <x v="1"/>
    <n v="245000"/>
    <n v="30500000"/>
    <n v="24500000"/>
    <n v="0.02"/>
    <s v="Xin xem Bảng đáp ứng kỹ thuật"/>
    <n v="9"/>
    <n v="18375000"/>
    <n v="0.1"/>
    <n v="0.36423428571428568"/>
  </r>
  <r>
    <n v="6"/>
    <n v="2025"/>
    <s v="KSNK"/>
    <s v="MN"/>
    <s v="Nguyễn Thái Hằng"/>
    <s v="IB2500157406"/>
    <x v="49"/>
    <s v="Anios"/>
    <s v="Aniospray Surf 29"/>
    <x v="5"/>
    <s v="Xử lý bề mặt"/>
    <s v="Phun tay"/>
    <s v="Nhập khẩu"/>
    <n v="1000"/>
    <n v="765000"/>
    <n v="290"/>
    <x v="1"/>
    <n v="260"/>
    <n v="221850000"/>
    <n v="198900000"/>
    <n v="0.53"/>
    <s v="1. Thành phần: 0,05% Didecyldimethyl ammonium chloride + 0,06% Chlorhexidine digluconate kết hợp 22,57% Ethanol, không chứa Aldehyde_x000a_2. Khử khuẩn nhanh các bề mặt, thiết bị y tế, dụng cụ y tế không xâm lấn và không thể khử khuẩn bằng cách ngâm đã được làm sạch giường bệnh, băng ca, xe đẩu bệnh nhân, xe cấp cứu, máy đo huyết áp, máy thử đường huyết, ống nghe...)_x000a_Dung dịch trong suốt không màu_x000a_Quy cách: chai 1 lít_x000a_3. Hiệu quả diệt khuẩn (MRSA, ESBL..) theo EN 13727_x000a_Diệt virus (PRV, BVDV, HSV 1, H1N1, Rotavirus...) từ 1 phút theo EN 14476_x000a_Diệt vi khuần lao (Mycobacter tuberculosis)_x000a_4. Tương thích với các chất liệu bề mặt và thiết bị_x000a_5. Đạt tiêu chuẩn CE, ISO 13485, ISO 9001"/>
    <n v="9"/>
    <n v="149175000"/>
    <n v="0.1"/>
    <n v="0.39375923076923069"/>
  </r>
  <r>
    <n v="10"/>
    <n v="2025"/>
    <s v="KSNK"/>
    <s v="MN"/>
    <s v="Vũ Hải Dương"/>
    <s v="IB2500317554"/>
    <x v="50"/>
    <s v="Anios"/>
    <s v="Aniospray Surf 29"/>
    <x v="16"/>
    <s v="Xử lý bề mặt"/>
    <s v="Phun tay"/>
    <s v="Nhập khẩu"/>
    <n v="5000"/>
    <n v="60"/>
    <n v="1282000"/>
    <x v="1"/>
    <n v="1100000"/>
    <n v="76920000"/>
    <n v="66000000"/>
    <n v="0.1"/>
    <s v=" "/>
    <n v="5"/>
    <n v="27500000"/>
    <n v="0.1"/>
    <n v="0.56200363636363637"/>
  </r>
  <r>
    <n v="11"/>
    <n v="2025"/>
    <s v="KSNK"/>
    <s v="MB"/>
    <s v="Nguyễn Thị Tình"/>
    <s v="IB2500348028"/>
    <x v="51"/>
    <s v="Anios"/>
    <s v="Steranios 2%"/>
    <x v="6"/>
    <s v="Xử lý dụng cụ"/>
    <s v="KK mức độ cao"/>
    <s v="Nhập khẩu"/>
    <n v="5000"/>
    <n v="350"/>
    <n v="460000"/>
    <x v="1"/>
    <n v="428925"/>
    <n v="161000000"/>
    <n v="150123750"/>
    <n v="0.61"/>
    <s v="2% Glutaraldehyde, pH=6 khử khuẩn mức độ cao dụng cụ nội soi và các dụng cụ không chịu nhiệt. Dung dịch pha sẵn không pha bất kỳ dung dịch nào vào Steranios 2%. pH = 6. Diệt khuẩn theo tiêu chuẩn EN 14561, diệt nấm theo tiêu chuẩn EN 14562, diệt virus theo tiêu chuẩn EN 14476  và diệt Mycobacteria theo tiêu chuẩn EN 14563 trong 10 phút. Bảo quản tối đa trong chậu ngâm kín: 30 ngày"/>
    <n v="4"/>
    <n v="50041250"/>
    <n v="0.1"/>
    <n v="0.42921559713236579"/>
  </r>
  <r>
    <n v="11"/>
    <n v="2025"/>
    <s v="KSNK"/>
    <s v="MB"/>
    <s v="Nguyễn Thị Tình"/>
    <s v="IB2500348028"/>
    <x v="51"/>
    <s v="Anios"/>
    <s v="Aniosyme Synergy 5"/>
    <x v="9"/>
    <s v="Xử lý dụng cụ"/>
    <s v="Làm sạch và tiền KK"/>
    <s v="Nhập khẩu"/>
    <n v="1000"/>
    <n v="10"/>
    <n v="560000"/>
    <x v="1"/>
    <n v="440000"/>
    <n v="5600000"/>
    <n v="4400000"/>
    <n v="0.02"/>
    <s v="Hỗn hợp 5 enzyme: Protease, Lipase, Amylase, Mannanase, Cellulase + chất hoạt động bề mặt tẩy rửa dụng cụ y tế với 5 enzyme. Phù hợp với máy rửa dụng cụ.Ngăn hình thành màng biofilm, hiệu quả tẩy rửa được chứng minh qua các test ATPmetry, EN 15883. Ngăn ngừa sự nhiễm khuẩn theo tiêu chuẩn NF EN ISO 11930. Nồng độ sử dụng: 0,1-0,5%."/>
    <n v="4"/>
    <n v="1466666.6666666667"/>
    <n v="0.1"/>
    <n v="0.40493249999999992"/>
  </r>
  <r>
    <n v="10"/>
    <n v="2025"/>
    <s v="KSNK"/>
    <s v="MB"/>
    <s v="Nguyễn Thị Tình"/>
    <s v="IB2500397397"/>
    <x v="52"/>
    <s v="Anios"/>
    <s v="Steranios 2%"/>
    <x v="6"/>
    <s v="Xử lý dụng cụ"/>
    <s v="KK mức độ cao"/>
    <s v="Nhập khẩu"/>
    <n v="1000"/>
    <n v="160"/>
    <n v="98500"/>
    <x v="1"/>
    <n v="85785"/>
    <n v="15760000"/>
    <n v="13725600"/>
    <n v="0.19"/>
    <s v="Theo bản đáp ứng kỹ thuật đính kèm"/>
    <n v="5"/>
    <n v="5719000"/>
    <n v="0.1"/>
    <n v="0.42921559713236579"/>
  </r>
  <r>
    <n v="10"/>
    <n v="2025"/>
    <s v="KSNK"/>
    <s v="MB"/>
    <s v="Nguyễn Thị Tình"/>
    <s v="IB2500397397"/>
    <x v="52"/>
    <s v="Asp"/>
    <s v="Cidex Opa"/>
    <x v="0"/>
    <s v="Xử lý dụng cụ"/>
    <s v="KK mức độ cao"/>
    <s v="Nhập khẩu"/>
    <n v="5000"/>
    <n v="2"/>
    <n v="1050000"/>
    <x v="1"/>
    <n v="980000"/>
    <n v="2100000"/>
    <n v="1960000"/>
    <n v="0.03"/>
    <s v="Theo bản đáp ứng kỹ thuật đính kèm"/>
    <n v="5"/>
    <n v="816666.66666666663"/>
    <n v="0.1"/>
    <n v="0.37779489795918364"/>
  </r>
  <r>
    <n v="10"/>
    <n v="2025"/>
    <s v="KSNK"/>
    <s v="MB"/>
    <s v="Nguyễn Thị Tình"/>
    <s v="IB2500397397"/>
    <x v="52"/>
    <s v="Asp"/>
    <s v="Cidezyme"/>
    <x v="9"/>
    <s v="Xử lý dụng cụ"/>
    <s v="Làm sạch và tiền KK"/>
    <s v="Nhập khẩu"/>
    <n v="1000"/>
    <n v="34"/>
    <n v="688000"/>
    <x v="1"/>
    <n v="440000"/>
    <n v="23392000"/>
    <n v="14960000"/>
    <n v="0.28000000000000003"/>
    <s v="Theo bản đáp ứng kỹ thuật đính kèm"/>
    <n v="5"/>
    <n v="6233333.333333333"/>
    <n v="0.1"/>
    <n v="0.40493249999999992"/>
  </r>
  <r>
    <n v="10"/>
    <n v="2025"/>
    <s v="KSNK"/>
    <s v="MN"/>
    <s v="Vũ Hải Dương"/>
    <s v="IB2500441757"/>
    <x v="53"/>
    <s v="Metrex"/>
    <s v="Caviwipes 1"/>
    <x v="3"/>
    <s v="Xử lý bề mặt"/>
    <s v="Khăn lau"/>
    <s v="Nhập khẩu"/>
    <n v="100"/>
    <n v="4"/>
    <n v="323520"/>
    <x v="1"/>
    <n v="245000"/>
    <n v="1294080"/>
    <n v="980000"/>
    <n v="0.53"/>
    <s v="Diệt khuẩn hiểu quả: 1 phút đối với Virus, vi khuẩn và nấm."/>
    <n v="5"/>
    <n v="408333.33333333331"/>
    <n v="0.1"/>
    <n v="0.36423428571428568"/>
  </r>
  <r>
    <n v="10"/>
    <n v="2025"/>
    <s v="KSNK"/>
    <s v="MN"/>
    <s v="Vũ Hải Dương"/>
    <s v="IB2500441757"/>
    <x v="53"/>
    <s v="Anios"/>
    <s v="Aniospray Surf 29"/>
    <x v="5"/>
    <s v="Xử lý bề mặt"/>
    <s v="Phun tay"/>
    <s v="Nhập khẩu"/>
    <n v="500"/>
    <n v="4"/>
    <n v="287000"/>
    <x v="1"/>
    <n v="260000"/>
    <n v="1148000"/>
    <n v="1040000"/>
    <n v="0.47"/>
    <s v="Khử khuẩn nhanh các bề mặt, trang thiết bị trong phòng mổ, khu vực có nguy cơ lây nhiễm cao, phòng thay băng, chăm sóc bệnh nhân._x000a_Khử khuẩn nhanh các vật dụng trung gian gây nhiễm khuẩn: giường bệnh, băng ca, xe đẩy bệnh nhân, xe cấp cứu…"/>
    <n v="5"/>
    <n v="433333.33333333331"/>
    <n v="0.1"/>
    <n v="0.39375923076923069"/>
  </r>
  <r>
    <n v="11"/>
    <n v="2025"/>
    <s v="KSNK"/>
    <s v="MB"/>
    <s v="Nghiêm Thị Quỳnh Hương"/>
    <s v="IB2500428503"/>
    <x v="54"/>
    <s v="Anios"/>
    <s v="Aniospray Surf 29"/>
    <x v="5"/>
    <s v="Xử lý bề mặt"/>
    <s v="Phun tay"/>
    <s v="Nhập khẩu"/>
    <n v="1000"/>
    <n v="900"/>
    <n v="246750"/>
    <x v="1"/>
    <n v="260000"/>
    <n v="222075000"/>
    <n v="234000000"/>
    <n v="0.16"/>
    <s v="T- Thành phần: Ethanol 22,6%; Chlorhexidine digluconate 0,053%;_x000a_Didecyldimethyl ammonium chloride 0,064%_x000a_- Khử khuẩn nhanh các bè mặt, thiết bị y tế, dụng cụ y tế không xâm lấn và không thể khử khuẩn bằng cách ngâm đã được làm sạch giường bệnh, băng ca, xe đẩu bệnh nhân, xe cấp cứu, máy đo huyết áp, máy thử đường huyết, ống nghe...._x000a_- Hiệu quả diệt: Vi khuẩn, nấm, nấm men, Virus theo EN 13697_x000a_- Đạt hiệu quả diệt khuẩn:_x000a_+ Vi khuẩn theo EN 13697: 5 phút_x000a_+ Nấm theo EN 13697: 5 phút_x000a_+ Nấm men theo EN 13697: 30 phút_x000a_+ Diệt Virus: 1 phút_x000a_- Đạt tiêu chuẩn ISO 13485"/>
    <n v="4"/>
    <n v="78000000"/>
    <n v="0.1"/>
    <n v="0.39375923076923069"/>
  </r>
  <r>
    <n v="11"/>
    <n v="2025"/>
    <s v="KSNK"/>
    <s v="MB"/>
    <s v="Nghiêm Thị Quỳnh Hương"/>
    <s v="IB2500428503"/>
    <x v="54"/>
    <s v="Anios"/>
    <s v="Steranios 2%"/>
    <x v="6"/>
    <s v="Xử lý dụng cụ"/>
    <s v="KK mức độ cao"/>
    <s v="Nhập khẩu"/>
    <n v="1000"/>
    <n v="2500"/>
    <n v="103900"/>
    <x v="1"/>
    <n v="85785"/>
    <n v="259750000"/>
    <n v="214462500"/>
    <n v="0.19"/>
    <s v="T- Thành phần: dung dịch Glutaraldehyde 2% với đệm pH=6, chất hoạt động bề mặt, chất tạo màu và tá dược_x000a_- Bảo quản tối đa trong chậu ngâm kín: 30 ngày_x000a_- Hiệu quả diệt vi khuẩn, nấm men, nấm mốc, virus, mycobacteria trong 10 phút_x000a_- Hiệu quả:_x000a_+ Diệt khuẩn theo EN 13727/ EN 14561: 5 phút_x000a_+ Diệt nấm men theo EN 13624/ EN 14562: 5 phút_x000a_+ Diệt nấm mốc theo EN 13624/ EN 14562: 10 phút_x000a_+ Diệt vi khuẩn lao theo EN 14348/ EN 14563: 10 phút_x000a_+ Diệt Virus theo EN 14476/ EN 17111_x000a_- Đạt tiêu chuẩn ISO 13485"/>
    <n v="4"/>
    <n v="71487500"/>
    <n v="0.1"/>
    <n v="0.42921559713236579"/>
  </r>
  <r>
    <n v="11"/>
    <n v="2025"/>
    <s v="KSNK"/>
    <s v="MB"/>
    <s v="Nghiêm Thị Quỳnh Hương"/>
    <s v="IB2500428503"/>
    <x v="54"/>
    <s v="Anios"/>
    <s v="Aniosyme Synergy 5"/>
    <x v="9"/>
    <s v="Xử lý dụng cụ"/>
    <s v="Làm sạch và tiền KK"/>
    <s v="Nhập khẩu"/>
    <n v="1000"/>
    <n v="750"/>
    <n v="565950"/>
    <x v="1"/>
    <n v="440000"/>
    <n v="424462500"/>
    <n v="330000000"/>
    <n v="0.31"/>
    <s v="- Với sự kết hợp 5 enzyme: protease 1%-3%; amylase 0,1%-0,5%; lipase 0,1%-0,5%; cellulase 0,1%-0,5%; mannanase 0,1%-0,5%_x000a_- Mang lại hiệu quả làm sạch xuất sắc khi ngâm thủ công và sử dụng cho máy rửa dụng cụ tự động_x000a_- Hiệu quả sau 5 phút với máy rửa dụng cụ và hiệu quả với mọi loại nước_x000a_- Khoảng pH= 6,89-7,29 (dung dịch pha loãng từ 0,1% đến 0,5%) ở 20°C_x000a_- Đạt tiêu chuẩn ISO 13485"/>
    <n v="4"/>
    <n v="110000000"/>
    <n v="0.1"/>
    <n v="0.40493249999999992"/>
  </r>
  <r>
    <n v="11"/>
    <n v="2025"/>
    <s v="KSNK"/>
    <s v="MN"/>
    <s v=" "/>
    <s v="IB2500415260"/>
    <x v="55"/>
    <s v="Anios"/>
    <s v="Steranios 2%"/>
    <x v="7"/>
    <s v="Xử lý dụng cụ"/>
    <s v="KK mức độ cao"/>
    <s v="Nhập khẩu"/>
    <n v="5000"/>
    <n v="3600"/>
    <n v="440000"/>
    <x v="2"/>
    <m/>
    <n v="1584000000"/>
    <n v="0"/>
    <n v="1"/>
    <s v="Hàm lượng Glutaraldehyde 2%. Có tác dụng diệt khuẩn hoàn toàn đối với các vi khuẩn Staphylococcus aureus, Psedoumonas aeruginosa, Shigella, Bacillus subtilis và nấm Candida albicans sau 10 phút tiếp xúc"/>
    <n v="4"/>
    <n v="0"/>
    <m/>
    <m/>
  </r>
  <r>
    <n v="11"/>
    <n v="2025"/>
    <s v="KSNK"/>
    <s v="MN"/>
    <s v="Vũ Hải Dương"/>
    <s v="IB2500353276"/>
    <x v="48"/>
    <s v="Anios"/>
    <s v="Anios’Clean Excel D"/>
    <x v="11"/>
    <s v="Xử lý dụng cụ"/>
    <s v="Làm sạch và tiền KK"/>
    <s v="Nhập khẩu"/>
    <n v="1000"/>
    <n v="2500"/>
    <n v="370000"/>
    <x v="1"/>
    <n v="290000"/>
    <n v="925000000"/>
    <n v="725000000"/>
    <n v="0"/>
    <s v="Theo bảng danh mục hàng hóa dự thầu"/>
    <n v="4"/>
    <n v="241666666.66666666"/>
    <n v="0.1"/>
    <n v="0.40335517241379315"/>
  </r>
  <r>
    <n v="11"/>
    <n v="2025"/>
    <s v="KSNK"/>
    <s v="MN"/>
    <s v="Vũ Hải Dương"/>
    <s v="IB2500353276"/>
    <x v="48"/>
    <s v="Anios"/>
    <s v="Opaster'Anios"/>
    <x v="0"/>
    <s v="Xử lý dụng cụ"/>
    <s v="KK mức độ cao"/>
    <s v="Nhập khẩu"/>
    <n v="5000"/>
    <n v="200"/>
    <n v="1120000"/>
    <x v="1"/>
    <n v="980000"/>
    <n v="224000000"/>
    <n v="196000000"/>
    <n v="0.02"/>
    <s v="Theo bảng danh mục hàng hóa dự thầu"/>
    <n v="4"/>
    <n v="65333333.333333336"/>
    <n v="0.1"/>
    <n v="0.37779489795918364"/>
  </r>
  <r>
    <n v="11"/>
    <n v="2025"/>
    <s v="KSNK"/>
    <s v="MN"/>
    <s v="Vũ Hải Dương"/>
    <s v="IB2500353276"/>
    <x v="48"/>
    <s v="Anios"/>
    <s v="Aniosyme X3"/>
    <x v="2"/>
    <s v="Xử lý dụng cụ"/>
    <s v="Làm sạch và tiền KK"/>
    <s v="Nhập khẩu"/>
    <n v="1000"/>
    <n v="2000"/>
    <n v="600000"/>
    <x v="1"/>
    <n v="530000"/>
    <n v="1200000000"/>
    <n v="1060000000"/>
    <n v="0.1"/>
    <s v="Theo bảng danh mục hàng hóa dự thầu"/>
    <n v="4"/>
    <n v="353333333.33333331"/>
    <n v="0.1"/>
    <n v="0.41266981132075475"/>
  </r>
  <r>
    <n v="11"/>
    <n v="2025"/>
    <s v="KSNK"/>
    <s v="MN"/>
    <s v="Vũ Hải Dương"/>
    <s v="IB2500353276"/>
    <x v="48"/>
    <s v="Anios"/>
    <s v="Aniosyme Synergy 5"/>
    <x v="10"/>
    <s v="Xử lý dụng cụ"/>
    <s v="Làm sạch và tiền KK"/>
    <s v="Nhập khẩu"/>
    <n v="5000"/>
    <n v="500"/>
    <n v="2220000"/>
    <x v="1"/>
    <n v="2000000"/>
    <n v="1110000000"/>
    <n v="1000000000"/>
    <n v="0.09"/>
    <s v="Theo bảng danh mục hàng hóa dự thầu"/>
    <n v="4"/>
    <n v="333333333.33333331"/>
    <n v="0.1"/>
    <n v="0.41820584999999988"/>
  </r>
  <r>
    <n v="11"/>
    <n v="2025"/>
    <s v="KSNK"/>
    <s v="MN"/>
    <s v="Vũ Hải Dương"/>
    <s v="IB2500353276"/>
    <x v="48"/>
    <s v="Anios"/>
    <s v="Surfa'Safe Premium"/>
    <x v="8"/>
    <s v="Xử lý bề mặt"/>
    <s v="Phun tay"/>
    <s v="Nhập khẩu"/>
    <n v="750"/>
    <n v="1000"/>
    <n v="420000"/>
    <x v="1"/>
    <n v="360000"/>
    <n v="420000000"/>
    <n v="360000000"/>
    <n v="0.04"/>
    <s v="Theo bảng danh mục hàng hóa dự thầu"/>
    <n v="4"/>
    <n v="120000000"/>
    <n v="0.1"/>
    <n v="0.56480833333333336"/>
  </r>
  <r>
    <n v="10"/>
    <n v="2025"/>
    <s v="KSNK"/>
    <s v="MN"/>
    <s v="Nguyễn Thị Kim Ngọc"/>
    <s v="IB2500303280"/>
    <x v="56"/>
    <s v="Anios"/>
    <s v="Anios’Clean Excel D"/>
    <x v="11"/>
    <s v="Xử lý dụng cụ"/>
    <s v="Làm sạch và tiền KK"/>
    <s v="Nhập khẩu"/>
    <n v="1000"/>
    <n v="7"/>
    <n v="366500"/>
    <x v="1"/>
    <n v="290000"/>
    <n v="2565500"/>
    <n v="2030000"/>
    <n v="0.14000000000000001"/>
    <s v=" "/>
    <n v="5"/>
    <n v="845833.33333333337"/>
    <n v="0.1"/>
    <n v="0.40335517241379315"/>
  </r>
  <r>
    <n v="10"/>
    <n v="2025"/>
    <s v="KSNK"/>
    <s v="MN"/>
    <s v="Nguyễn Thị Kim Ngọc"/>
    <s v="IB2500303280"/>
    <x v="56"/>
    <s v="Anios"/>
    <s v="Aniosyme X3"/>
    <x v="2"/>
    <s v="Xử lý dụng cụ"/>
    <s v="Làm sạch và tiền KK"/>
    <s v="Nhập khẩu"/>
    <n v="1000"/>
    <n v="15"/>
    <n v="410800"/>
    <x v="1"/>
    <n v="530000"/>
    <n v="6162000"/>
    <n v="7950000"/>
    <n v="0.33"/>
    <s v=" "/>
    <n v="5"/>
    <n v="3312500"/>
    <n v="0.1"/>
    <n v="0.41266981132075475"/>
  </r>
  <r>
    <n v="12"/>
    <n v="2025"/>
    <s v="KSNK"/>
    <s v="MN"/>
    <s v="Nguyễn Thái Hằng"/>
    <s v="IB2500512700"/>
    <x v="57"/>
    <s v="Anios"/>
    <s v="Anios’Clean Excel D"/>
    <x v="11"/>
    <s v="Xử lý dụng cụ"/>
    <s v="Làm sạch và tiền KK"/>
    <s v="Nhập khẩu"/>
    <n v="1000"/>
    <n v="8"/>
    <n v="349146"/>
    <x v="1"/>
    <n v="290000"/>
    <n v="2793168"/>
    <n v="2320000"/>
    <n v="0.45"/>
    <s v="Đặc trưng kỹ thuật:_x000a_Chất tẩy rửa và khử khuẩn với mục đích ngăn hình thành màng sinh học (biofilm) trên dụng cụ y tế theo tiêu chuẩn ISO/TS 15883-5:2005 ._x000a_Phổ diệt khuẩn rộng hạn chế nguy cơ nhiễm khuẩn chéo và đảm bảo an toàn cho người sử dụng._x000a_Hiệu quả diệt khuẩn đã được chứng minh bao gồm MRB và HRB._x000a_Dễ xả sạch._x000a_Có thể sử dụng với bồn rửa siêu âm._x000a_Dung dịch trong suốt màu xanh._x000a_pH chưa pha loãng: 7_x000a_pH ở 5% trong nước cứng: 7.4_x000a_pH ở 5% trong nước mềm: 8.3_x000a_Thành phần:_x000a_Didecyldimethylammonium chloride, chlorhexidine digluconate, chất hoạt động bề mặt không ion, chất tạo màu, mùi, các thành phần khác._x000a_Chai/1Lít "/>
    <n v="3"/>
    <n v="580000"/>
    <n v="0.1"/>
    <n v="0.40335517241379315"/>
  </r>
  <r>
    <n v="11"/>
    <n v="2025"/>
    <s v="KSNK"/>
    <s v="MB"/>
    <s v="Phạm Thị Huyền Châm"/>
    <s v="IB2500448959"/>
    <x v="58"/>
    <s v="Anios"/>
    <s v="Anios’Clean Excel D"/>
    <x v="1"/>
    <s v="Xử lý dụng cụ"/>
    <s v="Làm sạch và tiền KK"/>
    <s v="Nhập khẩu"/>
    <n v="5000"/>
    <n v="106"/>
    <n v="1830000"/>
    <x v="1"/>
    <n v="1450000"/>
    <n v="193980000"/>
    <n v="153700000"/>
    <n v="0.14000000000000001"/>
    <s v="1. Thành phần: 6,5% Didecyldimethyl ammonium chloride + 0,074% Chlorhexidine digluconate, chất hoạt động bề mặt non-ionic._x000a_2. Làm sạch và khử khuẩn dụng cụ y tế, dụng cụ không chịu nhiệt và dụng cụ nội soi._x000a_Nồng độ sử dụng: 0.5% (25ml trong 5 lít nước)_x000a_pH = 6.6 - 7.6_x000a_Quy cách: Can 5 lít_x000a_3. Hiệu quả diệt khuẩn_x000a_- Diệt khuẩn theo tiêu chuẩn EN 14561_x000a_- Diệt nấm theo tiêu chuẩn EN 14562_x000a_- Diệt vi khuẩn lao theo tiêu chuẩn EN 14563_x000a_- Diệt virus HIV-1, HBV, HCV, HSV theo tiêu chuẩn EN 14476_x000a_- Diệt Vacinia virus EN 17111_x000a_4. Đạt tiêu chuẩn: ISO 15883 (chống lại màng Biofilm)_x000a_5. Đạt tiêu chuẩn CE, ISO 13485, ISO 9001_x000a_6. Xuất xứ G7"/>
    <n v="4"/>
    <n v="51233333.333333336"/>
    <n v="0.1"/>
    <n v="0.45095172413793105"/>
  </r>
  <r>
    <n v="11"/>
    <n v="2025"/>
    <s v="KSNK"/>
    <s v="MB"/>
    <s v="Phạm Thị Huyền Châm"/>
    <s v="IB2500448959"/>
    <x v="58"/>
    <s v="Dr.Weigert"/>
    <s v="Neodisher Septo Active"/>
    <x v="7"/>
    <s v="Xử lý dụng cụ"/>
    <s v="KK mức độ cao"/>
    <s v="Nhập khẩu"/>
    <n v="1"/>
    <n v="50"/>
    <n v="1200000"/>
    <x v="2"/>
    <m/>
    <n v="60000000"/>
    <n v="0"/>
    <n v="0.04"/>
    <s v="Hóa chất khử khuẩn mức độ cao_x000a_dạng bột có chứa peracetic acid"/>
    <n v="4"/>
    <n v="0"/>
    <m/>
    <m/>
  </r>
  <r>
    <n v="11"/>
    <n v="2025"/>
    <s v="KSNK"/>
    <s v="MB"/>
    <s v="Nghiêm Thị Quỳnh Hương"/>
    <s v="IB2500404314"/>
    <x v="59"/>
    <s v="Asp"/>
    <s v="Cidex Opa"/>
    <x v="0"/>
    <s v="Xử lý dụng cụ"/>
    <s v="KK mức độ cao"/>
    <s v="Nhập khẩu"/>
    <n v="3780"/>
    <n v="125"/>
    <n v="1050000"/>
    <x v="1"/>
    <n v="980000"/>
    <n v="131250000"/>
    <n v="122500000"/>
    <n v="0.28999999999999998"/>
    <s v="Thành phần ORTHO-PHTHALADEHYDE 0,55%, Benzotriazole 0,01% và các thành phần khác, pH 7.2 - 7.8,_x000a_Thời gian ngâm khử khuẩn mức độ cao cho dụng cụ là 5 phút, tái sử dụng trong vòng 14 ngày._x000a_Diệt được hầu hết các loại vi khuẩn, vi rút, nấm, Trực khuẩn lao (Mycobacterium bovis)_x000a_Kèm test thử để kiểm tra nồng độ_x000a_Đạt các tiêu chuẩn: EC, CFS_x000a_Can 3,78 lít"/>
    <n v="4"/>
    <n v="40833333.333333336"/>
    <n v="0.1"/>
    <n v="0.37779489795918364"/>
  </r>
  <r>
    <n v="11"/>
    <n v="2025"/>
    <s v="KSNK"/>
    <s v="MB"/>
    <s v="Nghiêm Thị Quỳnh Hương"/>
    <s v="IB2500505955"/>
    <x v="60"/>
    <s v="Asp"/>
    <s v="Cidex Opa"/>
    <x v="4"/>
    <s v="Xử lý dụng cụ"/>
    <s v="KK mức độ cao"/>
    <s v="Nhập khẩu"/>
    <n v="3780"/>
    <n v="80"/>
    <n v="1050000"/>
    <x v="2"/>
    <m/>
    <n v="84000000"/>
    <n v="0"/>
    <n v="1"/>
    <s v="Dung dịch khử khuẩn mức độ cao, có chứa Ortho-Phthaldehyde 0,55%._x000a_Can 3.78 lít"/>
    <n v="4"/>
    <n v="0"/>
    <m/>
    <m/>
  </r>
  <r>
    <n v="11"/>
    <n v="2025"/>
    <s v="KSNK"/>
    <s v="MB"/>
    <s v="Nghiêm Thị Quỳnh Hương"/>
    <s v="IB2500398625"/>
    <x v="61"/>
    <s v="Asp"/>
    <s v="Cidezyme"/>
    <x v="4"/>
    <s v="Xử lý dụng cụ"/>
    <s v="Làm sạch và tiền KK"/>
    <s v="Nhập khẩu"/>
    <n v="5000"/>
    <n v="25"/>
    <n v="2219532"/>
    <x v="2"/>
    <m/>
    <n v="55488300"/>
    <n v="0"/>
    <n v="0.04"/>
    <s v="Thành phần: protease subtilisin 0,5%, hiệu quả nhanh sau 1 phút. pH trung tính: 7,8-8,8. Không gây ăn mòn dụng cụ, đi sâu và làm sạch  các vị trí khó tiếp cận như các khe ống nội soi, đổng thời làm sạch hiệu quả các chất béo và mỡ._x000a_Tương thích với nhiều loại dụng cụ vật liệu phi kim loại như silicone, polyurethane, cao su và các vật liệu kim loại như thép không gỉ. Can 5 lít."/>
    <n v="4"/>
    <n v="0"/>
    <m/>
    <m/>
  </r>
  <r>
    <n v="10"/>
    <n v="2025"/>
    <s v="KSNK"/>
    <s v="MN"/>
    <s v="Nguyễn Thị Xuân Hồng"/>
    <s v="PL2500268703"/>
    <x v="62"/>
    <s v="Anios"/>
    <s v="Aniosyme X3 "/>
    <x v="2"/>
    <s v="Xử lý dụng cụ"/>
    <s v="Làm sạch và tiền KK"/>
    <s v="Nhập khẩu"/>
    <n v="1000"/>
    <n v="100"/>
    <n v="577668"/>
    <x v="1"/>
    <n v="530000"/>
    <n v="57766800"/>
    <n v="53000000"/>
    <n v="0.25"/>
    <s v="ANIOSYME X3"/>
    <n v="5"/>
    <n v="22083333.333333332"/>
    <n v="0.1"/>
    <n v="0.41266981132075475"/>
  </r>
  <r>
    <n v="11"/>
    <n v="2025"/>
    <s v="KSNK"/>
    <s v="MB"/>
    <s v="Nguyễn Thị Tình"/>
    <s v="PL2500296580"/>
    <x v="27"/>
    <s v="Anios"/>
    <s v="Surfa'Safe Premium"/>
    <x v="8"/>
    <s v="Xử lý bề mặt"/>
    <s v="Phun tay"/>
    <s v="Nhập khẩu"/>
    <n v="750"/>
    <n v="291"/>
    <n v="546667"/>
    <x v="1"/>
    <n v="360000"/>
    <n v="159080097"/>
    <n v="104760000"/>
    <n v="0.69"/>
    <s v="Dung dịch làm sạch và khử khuẩn bề mặt trang thiết bị y tế._x000a_- Thành phần: Didecyldimethyl ammonium chloride. Không chứa cồn_x000a_- Đáp ứng tiêu chuẩn EN 16615 hoặc tương đương._x000a_- Tiêu chuẩn ISO 13485 hoặc tương đương._x000a_- Quy cách: Chai ≤ 1 lít, có đầu phun tạo bọt"/>
    <n v="4"/>
    <n v="34920000"/>
    <n v="0.1"/>
    <n v="0.56480833333333336"/>
  </r>
  <r>
    <n v="11"/>
    <n v="2025"/>
    <s v="KSNK"/>
    <s v="MB"/>
    <s v="Hứa Thùy Linh"/>
    <s v="PL2500272549"/>
    <x v="63"/>
    <s v="Asp"/>
    <s v="Cidex Opa"/>
    <x v="0"/>
    <s v="Xử lý dụng cụ"/>
    <s v="KK mức độ cao"/>
    <s v="Nhập khẩu"/>
    <n v="3780"/>
    <n v="38"/>
    <n v="291000"/>
    <x v="1"/>
    <n v="196000"/>
    <n v="10999800"/>
    <n v="7448000"/>
    <n v="0.59"/>
    <s v="Thành phần tối thiểu ORTHO-PHTHALADEHYDE 0,55%, Benzotriazole 0,01% và các thành phần khác, pH 7.2 - 7.8._x000a_- Thời gian ngâm khử khuẩn mức độ cao cho dụng cụ là 5 phút, tái sử dụng trong vòng 14 ngày._x000a_- Không gây ăn mòn dụng cụ, tương thích với nhiều loại dụng cụ và vật liệu (kể cả Polystyrene, Cyanoacrylate, EPO - TEK 353 epoxy), có que thử._x000a_- Tương thích với dụng cụ của các hãng sản xuất dụng cụ nội soi (Olympus, Pentax, GE, Karl Storz, đèn nội soi Fujinon)_x000a_- Diệt được hầu hết các loại vi khuẩn, vi rút, nấm, Trực khuẩn lao (Mycobacterium bovis)_x000a_- Môi trường sử dụng không cần thông khí đặc biệt. Có thể dùng cho quy trình xử lý bằng tay và bằng máy."/>
    <n v="4"/>
    <n v="2482666.6666666665"/>
    <n v="0.1"/>
    <n v="0.37779489795918364"/>
  </r>
  <r>
    <n v="11"/>
    <n v="2025"/>
    <s v="KSNK"/>
    <s v="MB"/>
    <s v="Hứa Thùy Linh"/>
    <s v="PL2500272549"/>
    <x v="63"/>
    <s v="Anios"/>
    <s v="Steranios 2%"/>
    <x v="6"/>
    <s v="Xử lý dụng cụ"/>
    <s v="KK mức độ cao"/>
    <s v="Nhập khẩu"/>
    <n v="1000"/>
    <n v="15"/>
    <n v="84000"/>
    <x v="1"/>
    <n v="85785"/>
    <n v="1260000"/>
    <n v="1286775"/>
    <n v="7.0000000000000007E-2"/>
    <s v="Thành phần tối thiểu 2% Glutaraldehyde, pH=6 khử khuẩn mức độ cao dụng cụ nội soi và các dụng cụ không chịu nhiệt."/>
    <n v="4"/>
    <n v="428925"/>
    <n v="0.1"/>
    <n v="0.42921559713236579"/>
  </r>
  <r>
    <n v="11"/>
    <n v="2025"/>
    <s v="KSNK"/>
    <s v="MB"/>
    <s v="Hứa Thùy Linh"/>
    <s v="PL2500272549"/>
    <x v="63"/>
    <s v="Asp"/>
    <s v="Cidezyme"/>
    <x v="9"/>
    <s v="Xử lý dụng cụ"/>
    <s v="Làm sạch và tiền KK"/>
    <s v="Nhập khẩu"/>
    <n v="1000"/>
    <n v="10"/>
    <n v="650000"/>
    <x v="1"/>
    <n v="440000"/>
    <n v="6500000"/>
    <n v="4400000"/>
    <n v="0.35"/>
    <s v="ung dịch ngâm tẩy rửa dụng cụ y tế hoạt tính enzyme, thành phần: protease subtilisin 0,5%, hiệu quả nhanh sau 1 phút, ít bọt, pH trung tính: 7.8-8.8 ngăn không để lại tồn lưu, giúp dụng cụ được khử khuẩn hiệu quả, hương bạc hà dễ chịu, át được mùi của dụng cụ bẩn, không gây ăn mòn dụng cụ - Đi sâu và làm sạch các vị trí khó tiếp cận như các khe ống nội soi, đổng thời làm sạch hiệu quả các chất béo và mỡ. - Tương thích với nhiều loại dụng cụ vật liệu phi kim loại"/>
    <n v="4"/>
    <n v="1466666.6666666667"/>
    <n v="0.1"/>
    <n v="0.40493249999999992"/>
  </r>
  <r>
    <n v="12"/>
    <n v="2025"/>
    <s v="KSNK"/>
    <s v="MB"/>
    <s v="Nghiêm Thị Quỳnh Hương"/>
    <s v="IB2500524921"/>
    <x v="64"/>
    <s v="Anios"/>
    <s v="Steranios 2%"/>
    <x v="4"/>
    <s v="Xử lý dụng cụ"/>
    <s v="KK mức độ cao"/>
    <s v="Nhập khẩu"/>
    <n v="5000"/>
    <n v="250"/>
    <n v="510000"/>
    <x v="2"/>
    <m/>
    <n v="127500000"/>
    <n v="0"/>
    <n v="0.69"/>
    <s v="k đề cập"/>
    <n v="3"/>
    <n v="0"/>
    <m/>
    <m/>
  </r>
  <r>
    <n v="12"/>
    <n v="2025"/>
    <s v="KSNK"/>
    <s v="MN"/>
    <s v="Huỳnh Thị Thùy Linh"/>
    <s v="IB2500387259"/>
    <x v="65"/>
    <s v="Metrex"/>
    <s v="Caviwipes 1"/>
    <x v="3"/>
    <s v="Xử lý bề mặt"/>
    <s v="Khăn lau"/>
    <s v="Nhập khẩu"/>
    <n v="100"/>
    <n v="450"/>
    <n v="280000"/>
    <x v="1"/>
    <n v="245000"/>
    <n v="126000000"/>
    <n v="110250000"/>
    <n v="1"/>
    <s v="Là khăn lau khử khuẩn bề mặt có cồn nồng độ thấp._x000a_- Thành phần: Didecyldimethylammonium chloride  ≤ 0.76%. Ethanol ≤ 7.5%.  Isopropanol ≤ 15%_x000a_- Hiệu quả  ≤ 01 phút tiêu diệt được ≥  25 vi sinh vật gây bệnh trong môi trường lâm sàng, trong đó có: Nấm Candida Auris, Trực khuẩn mủ xanh, Vi khuẩn lao;  Các vi khuẩn đa kháng thuốc như:  A. baumannii, Tụ cầu vàng (MRSA, MRSE, VISA), CRKP, ESBL, VRE._x000a_- Có chứng nhận của Cơ quan, tổ chức từ các nước G7 về các công bố trên nhãn sản phẩm._x000a_- Khăn kích thước (Dài xRộng) ≥ 15 x17cm làm bằng vải không dệt._x000a_- Đóng gói Hộp  ≥ 160 khăn_x000a_- Đạt tiêu chuẩn FDA, IS0 13485_x000a_- Xuất xứ: Từ các nước G7"/>
    <n v="3"/>
    <n v="27562500"/>
    <n v="0.1"/>
    <n v="0.36423428571428568"/>
  </r>
  <r>
    <n v="12"/>
    <n v="2025"/>
    <s v="KSNK"/>
    <s v="MN"/>
    <s v="Nguyễn Thị Xuân Hồng"/>
    <s v="IB2500581433"/>
    <x v="62"/>
    <s v="Anios"/>
    <s v="Aniosyme X3 "/>
    <x v="2"/>
    <s v="Xử lý dụng cụ"/>
    <s v="Làm sạch và tiền KK"/>
    <s v="Nhập khẩu"/>
    <n v="1000"/>
    <n v="100"/>
    <n v="577668"/>
    <x v="1"/>
    <n v="530000"/>
    <n v="57766800"/>
    <n v="53000000"/>
    <n v="0.25"/>
    <s v=" "/>
    <n v="3"/>
    <n v="13250000"/>
    <n v="0.1"/>
    <n v="0.41266981132075475"/>
  </r>
  <r>
    <n v="12"/>
    <n v="2025"/>
    <s v="KSNK"/>
    <s v="MN"/>
    <s v="Huỳnh Thị Thùy Linh"/>
    <s v="IB2500512916"/>
    <x v="66"/>
    <s v="Anios"/>
    <s v="Aniosyme X3 "/>
    <x v="2"/>
    <s v="Xử lý dụng cụ"/>
    <s v="Làm sạch và tiền KK"/>
    <s v="Nhập khẩu"/>
    <n v="1000"/>
    <n v="20"/>
    <n v="577668"/>
    <x v="1"/>
    <n v="530000"/>
    <n v="11553360"/>
    <n v="10600000"/>
    <n v="0.44"/>
    <s v="1. Thành phần: 14% N,N-Didecyl-N-Methyl-poly(oxyethyl)ammonium propionate + 0,3% Chlorhexidine digluconate, hỗn hợp 3 enzym: 0.5%-2% Protease, 0.1%-0.5% Lipase, 0.1%-0.5% Amylase, chất hoạt động bề mặt_x000a_2. Hiệu quả:_x000a_- Diệt khuẩn theo tiêu chuẩn EN 13727, EN 14561_x000a_- Diệt virus theo tiêu chuẩn EN 14476 (HIV-1, HBV, HCV,HSV 1...)_x000a_- Diệt virus có vỏ bọc theo tiêu chuẩn EN 17111 (Vaccinia virus...)_x000a_3. Đạt tiêu chuẩn: CE, ISO 13485, ISO 9001, ISO 15883 (chống lại màng Biofilm )_x000a_4. Xuất xứ G7"/>
    <n v="3"/>
    <n v="2650000"/>
    <n v="0.1"/>
    <n v="0.41266981132075475"/>
  </r>
  <r>
    <n v="6"/>
    <n v="2025"/>
    <s v="KSNK"/>
    <s v="MN"/>
    <s v="Vũ Hải Dương"/>
    <s v="MSTT18062025"/>
    <x v="67"/>
    <s v="Anios"/>
    <s v="Anios’Clean Excel D"/>
    <x v="1"/>
    <s v="Xử lý dụng cụ"/>
    <s v="Làm sạch và tiền KK"/>
    <s v="Nhập khẩu"/>
    <n v="5000"/>
    <n v="18"/>
    <n v="1625000"/>
    <x v="1"/>
    <n v="1450000"/>
    <n v="29250000"/>
    <n v="26100000"/>
    <n v="0.06"/>
    <s v="1. Thành phần: 6,5% Didecyldimethyl ammonium chloride + 0,074% Chlorhexidine digluconate, chất hoạt động bề mặt non-ionic. 2. Làm sạch và khử khuẩn dụng cụ y tế. Nồng độ sử dụng 0.5% (25ml trong 5 lít nước) pH = 6.6 - 7.6 Thời gian tiếp xúc: từ 5 phút 3. Hiệu quả diệt khuẩn - Diệt khuẩn EN 14561 (Pseudomonas aeruginosa, Staphylococcus aureus, Enterococcus hirae...) - Diệt nấm EN 14562 (Candida albicans, Aspergillus niger...) - Diệt vi khuẩn lao EN 14563 (Mycobacterium terrae...) - Diệt virus HIV-1, HBV, HCV, HSV, - Diệt Vacinia EN 17111 4. Đạt tiêu chuẩn: ISO 15883 (chống lại màng Biofilm) 5. Đạt tiêu chuẩn CE, ISO 13485, ISO 9001"/>
    <n v="9"/>
    <n v="19575000"/>
    <n v="0.1"/>
    <n v="0.45095172413793105"/>
  </r>
  <r>
    <n v="6"/>
    <n v="2025"/>
    <s v="KSNK"/>
    <s v="MN"/>
    <s v="Vũ Hải Dương"/>
    <s v="MSTT18062025"/>
    <x v="67"/>
    <s v="Anios"/>
    <s v="Aniosyme X3 "/>
    <x v="12"/>
    <s v="Xử lý dụng cụ"/>
    <s v="Làm sạch và tiền KK"/>
    <s v="Nhập khẩu"/>
    <n v="5000"/>
    <n v="14"/>
    <n v="2645000"/>
    <x v="1"/>
    <n v="2450000"/>
    <n v="37030000"/>
    <n v="34300000"/>
    <n v="0.08"/>
    <s v="1. Thành phần: 14% N,N-Didecyl-N-Methyl-poly(oxyethyl)ammonium propionate + 0,3% Chlorhexidine digluconate, hỗn hợp 3 enzym: 0.5%-2% Protease, 0.1%-0.5% Lipase, 0.1%-0.5% Amylase, chất hoạt động bề mặt 2. Làm sạch và khử nhiễm. Thời gian tiếp xúc: từ 5 phút Nồng độ sử dụng 0.5% (25ml dung dịch trong 5 lít nước) 3. Đạt tiêu chuẩn: ISO 15883 (chống lại màng Biofilm ) 4. Hiệu quả diệt khuẩn: Diệt khuẩn EN 14561 (Staphylococcus aureus, Pseudomonas aeruginosa, Enterococcus hirae...) Diệt virus EN 14476 (HIV-1, HBV, HCV,HSV 1...) Diệt virus có vỏ bọc theo tiêu chuẩn EN 17111 (Vaccinia virus...) 5. Đạt tiêu chuẩn CE, ISO 13485, ISO 9001"/>
    <n v="9"/>
    <n v="25725000"/>
    <n v="0.1"/>
    <n v="0.40585946938775508"/>
  </r>
  <r>
    <n v="6"/>
    <n v="2025"/>
    <s v="KSNK"/>
    <s v="MN"/>
    <s v="Vũ Hải Dương"/>
    <s v="MSTT18062025"/>
    <x v="67"/>
    <s v="Asp"/>
    <s v="Cidex Opa"/>
    <x v="0"/>
    <s v="Xử lý dụng cụ"/>
    <s v="KK mức độ cao"/>
    <s v="Nhập khẩu"/>
    <n v="3780"/>
    <n v="194"/>
    <n v="891030"/>
    <x v="1"/>
    <n v="980000"/>
    <n v="172859820"/>
    <n v="190120000"/>
    <n v="0.36"/>
    <s v="Dung dịch khử khuẩn mức độ cao,_x000a_thành phần ORTHO-PHTHALADEHYDE 0,55%, Benzotriazole 0,01% và các thành phần khác, pH 7.2 - 7.8,_x000a_- Thời gian ngâm khử khuẩn mức độ cao cho dụng cụ là 5 phút, tái sử dụng trong vòng 14 ngày. Thời gian bảo quản dung dịch trong can là 75 ngày tính từ khi mở nắp._x000a_- Không gây ăn mòn dụng cụ, tương thích với nhiều loại dụng cụ và vật liệu (kể cả Polystyrene, Cyanoacrylate, EPO - TEK 353 epoxy), có que thử._x000a_- Tương thích với dụng cụ của các hãng sản xuất dụng cụ nội soi (Olympus, Pentax, GE, Karl Storz, đèn nội soi Fujinon)_x000a_- Diệt được hầu hết các loại vi khuẩn, vi rút, nấm, Trực khuẩn lao (Mycobacterium bovis), theo các tiêu chuẩn: EN 13727, EN 13624, EN 14348, EN 14563, EN 14476_x000a_- Môi trường sử dụng không cần thông khí đặc biệt. Có thể dùng cho quy trình xử lý bằng tay và bằng máy._x000a_- Đạt các tiêu chuẩn: EC, ISO 13485, CFS"/>
    <n v="9"/>
    <n v="142590000"/>
    <n v="0.1"/>
    <n v="0.37779489795918364"/>
  </r>
  <r>
    <n v="6"/>
    <n v="2025"/>
    <s v="KSNK"/>
    <s v="MN"/>
    <s v="Vũ Hải Dương"/>
    <s v="MSTT18062025"/>
    <x v="67"/>
    <s v="Asp"/>
    <s v="Cidezyme"/>
    <x v="10"/>
    <s v="Xử lý dụng cụ"/>
    <s v="Làm sạch và tiền KK"/>
    <s v="Nhập khẩu"/>
    <n v="5000"/>
    <n v="40"/>
    <n v="2219532"/>
    <x v="1"/>
    <n v="2000000"/>
    <n v="88781280"/>
    <n v="80000000"/>
    <n v="0.19"/>
    <s v="-Dung dịch ngâm tẩy rửa dụng cụ y tế hoạt tính enzyme, thành phần: protease subtilisin 0,5%, hiệu quả nhanh sau 1 phút. - ít bọt,  pH trung tính: 7.8-8.8 ngăn không để lại tồn lưu, giúp dụng cụ được khử khuẩn hiệu quả, hương bạc hà dễ chịu, át được mùi của dụng cụ bẩn, không gây ăn mòn dụng cụ - Đi sâu và làm sạch  các vị trí khó tiếp cận như các khe ống nội soi, đổng thời làm sạch hiệu quả các chất béo và mỡ.- Tương thích với nhiều loại dụng cụ vật liệu phi kim loại như silicone, E® Cao su EPDM, PTFE, polyurethane, cao su viton và các vật liệu kim loại như thép không gỉ E® thép 304-2B, thép không gỉ 410, thép không gỉ 420 và nhôm anodized.- Đạt các tiêu chuẩn : EC, ISO, CFS"/>
    <n v="9"/>
    <n v="60000000"/>
    <n v="0.1"/>
    <n v="0.41820584999999988"/>
  </r>
  <r>
    <n v="5"/>
    <n v="2025"/>
    <s v="KSNK"/>
    <s v="MN"/>
    <s v="Nguyễn Thị Xuân Hồng"/>
    <s v="MSTT14052025"/>
    <x v="68"/>
    <s v="Anios"/>
    <s v="Anios’Clean Excel D"/>
    <x v="11"/>
    <s v="Xử lý dụng cụ"/>
    <s v="Làm sạch và tiền KK"/>
    <s v="Nhập khẩu"/>
    <n v="1000"/>
    <n v="40"/>
    <n v="355000"/>
    <x v="1"/>
    <n v="290000"/>
    <n v="14200000"/>
    <n v="11600000"/>
    <n v="0.14000000000000001"/>
    <s v="1. Thành phần: ≥ 6,5% Didecyldimethyl ammonium chloride + ≥ 0,074% Chlorhexidine digluconate, chất hoạt động bề mặt non-ionic. 2. Làm sạch và khử khuẩn dụng cụ y tế. Nồng độ sử dụng ≤ 0.5% (25ml trong 5 lít nước) pH = 6.6 - 7.6 Thời gian tiếp xúc: từ 5 phút 3. Hiệu quả diệt khuẩn - Diệt khuẩn EN 14561 (Pseudomonas aeruginosa, Staphylococcus aureus, Enterococcus hirae...) - Diệt nấm EN 14562 (Candida albicans, Aspergillus niger...) - Diệt vi khuẩn lao EN 14563 (Mycobacterium terrae...) - Diệt virus HIV-1, HBV, HCV, HSV, - Diệt Vacinia EN 17111 4. Đạt tiêu chuẩn: ISO 15883 (chống lại màng Biofilm) 5. Đạt tiêu chuẩn ISO và CE"/>
    <n v="10"/>
    <n v="9666666.666666666"/>
    <n v="0.1"/>
    <n v="0.40335517241379315"/>
  </r>
  <r>
    <n v="5"/>
    <n v="2025"/>
    <s v="KSNK"/>
    <s v="MN"/>
    <s v="Nguyễn Thị Xuân Hồng"/>
    <s v="MSTT14052025"/>
    <x v="68"/>
    <s v="Anios"/>
    <s v="Steranios 2%"/>
    <x v="6"/>
    <s v="Xử lý dụng cụ"/>
    <s v="KK mức độ cao"/>
    <s v="Nhập khẩu"/>
    <n v="5000"/>
    <n v="20"/>
    <n v="430000"/>
    <x v="1"/>
    <n v="428925"/>
    <n v="8600000"/>
    <n v="8578500"/>
    <n v="0.08"/>
    <s v="1. Thành phần: 2% Glutaraldehyde 2. không cần hoạt hóa, pH=6 Khử khuẩn mức độ cao: 10 phút. Tái sử dụng trong 30 ngày (tặng kèm test thử) 3. Hạn sử dụng sau mở nắp: 3 năm 4. Hiệu quả diệt khuẩn: - Diệt khuẩn EN 14561 (Enterococcus hirae, Pseudomonas aeruginosa, Staphylococcus aureus...) - Diệt nấm EN 14562 (Candida albicans, Aspergillus niger...) - Diệt vi khuẩn lao EN 14563 (Mycobacterium terrae, Mycobacterium avium...) - Diệt bào tử trong 120 phút theo EN 17126 (Clostridium difficile, Bacillus cereus, Bacillus subtilis) - Diệt virus EN 17111 (Adenovirus...) Bào tử : NF T 72 -231 T 72- 301 -60 phút 5. Đạt tiêu chuẩn ISO và CE"/>
    <n v="10"/>
    <n v="7148750"/>
    <n v="0.1"/>
    <n v="0.42921559713236579"/>
  </r>
  <r>
    <n v="5"/>
    <n v="2025"/>
    <s v="KSNK"/>
    <s v="MN"/>
    <s v="Nguyễn Thị Xuân Hồng"/>
    <s v="MSTT14052025"/>
    <x v="68"/>
    <s v="Anios"/>
    <s v="Aniospray Surf 29"/>
    <x v="5"/>
    <s v="Xử lý bề mặt"/>
    <s v="Phun tay"/>
    <s v="Nhập khẩu"/>
    <n v="1000"/>
    <n v="30"/>
    <n v="290000"/>
    <x v="1"/>
    <n v="260000"/>
    <n v="8700000"/>
    <n v="7800000"/>
    <n v="0.08"/>
    <s v="1. Thành phần: ≥ 0,053% Didecyldimethyl ammonium chloride + ≥ 0,064 % Chlorhexidine digluconate kết hợp ≤ 22,6% Ethanol. 2. Khử khuẩn nhanh các bề mặt 3. Hiệu quả diệt khuẩn, diệt nấm theo EN 13697 Diệt virus (PRV, BVDV, HSV 1...) từ 1 phút 4. Đạt tiêu chuẩn ISO và CE"/>
    <n v="10"/>
    <n v="6500000"/>
    <n v="0.1"/>
    <n v="0.39375923076923069"/>
  </r>
  <r>
    <n v="12"/>
    <n v="2025"/>
    <s v="KSNK"/>
    <s v="MN"/>
    <s v="Nguyễn Thị Xuân Hồng"/>
    <s v="IB2500410075"/>
    <x v="69"/>
    <s v="Anios"/>
    <s v="Aniospray Surf 29"/>
    <x v="5"/>
    <s v="Xử lý bề mặt"/>
    <s v="Phun tay"/>
    <s v="Nhập khẩu"/>
    <n v="1000"/>
    <n v="2135"/>
    <n v="295000"/>
    <x v="1"/>
    <n v="260000"/>
    <n v="629825000"/>
    <n v="555100000"/>
    <n v="0.21"/>
    <s v="1. Thành phần: 0,05% Didecyldimethyl ammonium chloride + 0,06% Chlorhexidine digluconate kết hợp 22,57% Ethanol_x000a_2. Khử khuẩn nhanh các bề mặt. Thời gian tiếp xúc 5 phút_x000a_Chai 1 lít_x000a_3. Hiệu quả diệt khuẩn, diệt nấm theo EN 13697 (SARM, BLSE)_x000a_Diệt virus (PRV, BVDV, HSV 1...) từ 1 phút_x000a_4. Tương thích với hầu hết chất liệu bề mặt và thiết bị_x000a_5. Đạt tiêu chuẩn CE, ISO 13485, ISO 9001"/>
    <n v="3"/>
    <n v="138775000"/>
    <n v="0.1"/>
    <n v="0.39375923076923069"/>
  </r>
  <r>
    <n v="12"/>
    <n v="2025"/>
    <s v="KSNK"/>
    <s v="MN"/>
    <s v="Nguyễn Thị Xuân Hồng"/>
    <s v="IB2500410075"/>
    <x v="69"/>
    <s v="Anios"/>
    <s v="Aniosyme X3 "/>
    <x v="2"/>
    <s v="Xử lý dụng cụ"/>
    <s v="Làm sạch và tiền KK"/>
    <s v="Nhập khẩu"/>
    <n v="1000"/>
    <n v="696"/>
    <n v="590000"/>
    <x v="1"/>
    <n v="530000"/>
    <n v="410640000"/>
    <n v="368880000"/>
    <n v="0.14000000000000001"/>
    <s v="1. Thành phần: 14% N,N-Didecyl-N-Methyl-poly(oxyethyl)ammonium propionate + 0,3% Chlorhexidine digluconate, hỗn hợp 3 enzym: 0.5%-2% Protease, 0.1%-0.5% Lipase, 0.1%-0.5% Amylase, chất hoạt động bề mặt_x000a_2. Làm sạch và khử nhiễm._x000a_Thời gian tiếp xúc: 5 phút_x000a_Nồng độ sử dụng: 0.5% (25ml dung dịch trong 5 lít nước)_x000a_pH xấp xỉ 7.5, tương thích với các dụng cụ kim loại_x000a_3. Hiệu quả diệt khuẩn:_x000a_Diệt khuẩn theo tiêu chuẩn EN 13727, EN 14561_x000a_Diệt virus theo tiêu chuẩn EN 14476 (HIV-1, HBV, HCV,HSV 1...)_x000a_Diệt virus có vỏ bọc theo tiêu chuẩn EN 17111 (Vaccinia virus...)_x000a_4. Đạt tiêu chuẩn CE, ISO 13485, ISO 9001"/>
    <n v="3"/>
    <n v="92220000"/>
    <n v="0.1"/>
    <n v="0.41266981132075475"/>
  </r>
  <r>
    <n v="12"/>
    <n v="2025"/>
    <s v="KSNK"/>
    <s v="MN"/>
    <s v="Nguyễn Thị Xuân Hồng"/>
    <s v="IB2500410075"/>
    <x v="69"/>
    <s v="Anios"/>
    <s v="Anios’Clean Excel D"/>
    <x v="7"/>
    <s v="Xử lý dụng cụ"/>
    <s v="Làm sạch và tiền KK"/>
    <s v="Nhập khẩu"/>
    <s v="gói"/>
    <n v="12457"/>
    <n v="17430"/>
    <x v="5"/>
    <n v="11600"/>
    <n v="217125510"/>
    <n v="144501200"/>
    <n v="7.0000000000000007E-2"/>
    <s v="1. Thành phần: 6,5% Didecyldimethyl ammonium chloride + 0,074% Chlorhexidine digluconate, chất hoạt động bề mặt non-ionic._x000a_2. Làm sạch và khử khuẩn dụng cụ y tế._x000a_tương thích với nhiều chất liệu dụng cụ_x000a_Nồng độ sử dụng: 0.5% (25ml trong 5 lít nước)_x000a_pH dung dịch chưa pha loãng: từ 6.5 – 7.5 (trung tính)_x000a_Thời gian tiếp xúc: từ 5 phút_x000a_3. Hiệu quả diệt khuẩn_x000a_- Diệt khuẩn theo tiêu chuẩn EN 14561_x000a_- diệt các chủng vi khuẩn đa kháng như MRSA, ESBL, VRE theo tiêu chuẩn EN 13727+A1 trong 15 phút_x000a_- Diệt virus HIV-1, HBV, HCV, HSV, Vacinia theo tiêu chuẩn châu Âu EN 14476 + A1 trong 5 phút_x000a_Pha loãng sản phẩm bằng: Nước cứng_x000a_4. Đạt tiêu chuẩn: ISO 15883 (chống lại màng Biofilm)"/>
    <n v="3"/>
    <n v="36125300"/>
    <m/>
    <m/>
  </r>
  <r>
    <n v="8"/>
    <n v="2025"/>
    <s v="KSNK"/>
    <s v="MN"/>
    <s v="Vũ Hải Dương"/>
    <s v="IB2400582956"/>
    <x v="70"/>
    <s v="Anios"/>
    <s v="Anios’Clean Excel D"/>
    <x v="7"/>
    <s v="Xử lý dụng cụ"/>
    <s v="Làm sạch và tiền KK"/>
    <s v="Nhập khẩu"/>
    <n v="25"/>
    <n v="34000"/>
    <n v="16800"/>
    <x v="5"/>
    <n v="10752"/>
    <n v="571200000"/>
    <n v="365568000"/>
    <n v="0.15"/>
    <s v="1. Thành phần: 6,5% Didecyldimethyl ammonium chloride + 0,074% Chlorhexidine digluconate, chất hoạt động bề mặt non-ionic._x000a_2. Quy cách: Gói 25ml"/>
    <n v="7"/>
    <n v="213248000"/>
    <m/>
    <m/>
  </r>
  <r>
    <n v="8"/>
    <n v="2025"/>
    <s v="KSNK"/>
    <s v="MN"/>
    <s v="Vũ Hải Dương"/>
    <s v="IB2400582956"/>
    <x v="70"/>
    <s v="Anios"/>
    <s v="Wip'Anios Excel"/>
    <x v="7"/>
    <s v="Xử lý bề mặt"/>
    <s v="Khăn lau"/>
    <s v="Nhập khẩu"/>
    <n v="5000"/>
    <n v="225"/>
    <n v="2675400"/>
    <x v="2"/>
    <m/>
    <n v="601965000"/>
    <n v="0"/>
    <n v="0.16"/>
    <s v="1. Thành phần: 14% N,N-Didecyl-N-Methyl-poly(oxyethyl)ammonium propionate + 0,3% Chlorhexidine digluconate, hỗn hợp 3 enzym: Protease, Lipase, Amylase, chất hoạt động bề mặt_x000a_2. Làm sạch và khử nhiễm._x000a_Thời gian tiếp xúc: từ 5 phút_x000a_Nồng độ sử dụng 0.5% (25ml dung dịch trong 5 lít nước)_x000a_Quy cách: Can 5 lít_x000a_3. Đạt tiêu chuẩn: ISO 15883 (chống lại màng Biofilm), ISO 13485, ISO 9001"/>
    <n v="7"/>
    <n v="0"/>
    <m/>
    <m/>
  </r>
  <r>
    <n v="8"/>
    <n v="2025"/>
    <s v="KSNK"/>
    <s v="MN"/>
    <s v="Vũ Hải Dương"/>
    <s v="IB2400582956"/>
    <x v="70"/>
    <s v="Anios"/>
    <s v="Aniosyme X3"/>
    <x v="2"/>
    <s v="Xử lý dụng cụ"/>
    <s v="Làm sạch và tiền KK"/>
    <s v="Nhập khẩu"/>
    <n v="1000"/>
    <n v="200"/>
    <n v="300000"/>
    <x v="0"/>
    <n v="445200"/>
    <n v="60000000"/>
    <n v="89040000"/>
    <n v="0.02"/>
    <s v="1. Khăn tẩm dung dịch Didecyldimethyl ammonium chloride 0.3%, không chứa cồn_x000a_2. Làm sạch &amp; khử khuẩn bề mặt, lau sơ bộ ống nội soi trước khi ngâm làm sạch và khử khuẩn_x000a_Phân hủy vi sinh 100%_x000a_3. Đạt tiêu chuẩn CE, ISO 13485, ISO 9001"/>
    <n v="7"/>
    <n v="51940000"/>
    <n v="0"/>
    <n v="0.44841644204851749"/>
  </r>
  <r>
    <n v="12"/>
    <n v="2025"/>
    <s v="KSNK"/>
    <s v="MN"/>
    <s v="Vũ Hải Dương"/>
    <s v="IB2500471764"/>
    <x v="71"/>
    <s v="Anios"/>
    <s v="Steranios 2%"/>
    <x v="6"/>
    <s v="Xử lý dụng cụ"/>
    <s v="KK mức độ cao"/>
    <s v="Nhập khẩu"/>
    <n v="1000"/>
    <n v="600"/>
    <n v="96000"/>
    <x v="4"/>
    <n v="360297"/>
    <n v="57600000"/>
    <n v="216178200"/>
    <n v="0.33"/>
    <s v="1. Thành phần: 2% Glutaraldehyde 2. không cần hoạt hóa, pH=6 Khử khuẩn mức độ cao: 10 phút. Tái sử dụng trong 30 ngày (tặng kèm test thử) Quy cách: Can 5L 3. Hiệu quả diệt khuẩn: - Diệt khuẩn EN 14561 - Diệt nấm EN 14562 - Diệt vi khuẩn lao EN 14563- Diệt virus EN 17111 trong 10 phút 4. Đạt tiêu chuẩn chất lượng CE, ISO 13485, ISO 900"/>
    <n v="3"/>
    <n v="54044550"/>
    <n v="0"/>
    <n v="0.46811380610995929"/>
  </r>
  <r>
    <n v="12"/>
    <n v="2025"/>
    <s v="KSNK"/>
    <s v="MN"/>
    <s v="Vũ Hải Dương"/>
    <s v="IB2500471764"/>
    <x v="71"/>
    <s v="Anios"/>
    <s v="Aniosyme X3"/>
    <x v="2"/>
    <s v="Xử lý dụng cụ"/>
    <s v="Làm sạch và tiền KK"/>
    <s v="Nhập khẩu"/>
    <n v="1000"/>
    <n v="120"/>
    <n v="600000"/>
    <x v="4"/>
    <n v="445200"/>
    <n v="72000000"/>
    <n v="53424000"/>
    <n v="0.41"/>
    <s v="1. Thành phần: 14% N,N-Didecyl-N- Methyl-poly(oxyethyl)ammonium propionate + 0,3% Chlorhexidine digluconate, hỗn hợp 3 enzym: Protease, Lipase, Amylase, chất hoạt động bề mặt 2. Làm sạch và khử nhiễm. Thời gian tiếp xúc: 5 phút Quy cách: Chai 1L 3. Đạt tiêu chuẩn: ISO 15883 (chống lại màng Biofilm) - Diệt khuẩn theo tiêu chuẩn EN 14561 Diệt virus theo tiêu chuẩn EN 14476 (HIV-1, HBV, HCV,HSV 1...) Diệt virus có vỏ bọc theo tiêu chuẩn EN 17111 (Vaccinia virus...) 4. Đạt tiêu chuẩn CE, ISO 13485, ISO 9001"/>
    <n v="3"/>
    <n v="13356000"/>
    <n v="0"/>
    <n v="0.44841644204851749"/>
  </r>
  <r>
    <n v="8"/>
    <n v="2025"/>
    <s v="KSNK"/>
    <s v="MN"/>
    <s v="Huỳnh Thị Thùy Linh"/>
    <s v="IB2400440860"/>
    <x v="65"/>
    <s v="Anios"/>
    <s v="Opaster'Anios"/>
    <x v="0"/>
    <s v="Xử lý dụng cụ"/>
    <s v="KK mức độ cao"/>
    <s v="Nhập khẩu"/>
    <n v="5000"/>
    <n v="80"/>
    <n v="210000"/>
    <x v="1"/>
    <n v="196000"/>
    <n v="16800000"/>
    <n v="15680000"/>
    <n v="0.01"/>
    <s v="1. Thành phần: 0,55% Ortho- Phthalaldehyde, 2. pH=7, dung dịch sẵn sàng sử dụng (không cần hoạt hóa). Khử khuẩn mức độ cao trong 5 phút tặng kèm test thử để kiểm tra nồng độ OPA 3. Hiệu quả diệt khuẩn: - Diệt khuẩn EN 14561 (Pseudomonas aeruginosa, Staphylococcus aureus, Enterococcus hirae...) - Diệt nấm EN 14562 (Candida albicans, Aspergillus niger...) - Diệt vi khuẩn lao EN 14563 (Mycobacterium terrae, Mycobacterium avium...) - Diệt bào tử theo EN 17126 (Bacillus subtilis, Bacillus cereus) - Diệt virus EN 17111 (Adenovirus...) 4. Thời gian bảo quản dung dịch trong can sau khi mở nắp đến 3 năm 5. Tương thích với ống nội soi hãng Olympus/Fujifilm/Pentax/Karl Stozr 6. Tương thích với nhiều chất liệu dụng cụ 7. Đạt tiêu chuẩn CE, ISO 13485, ISO 9001 Xuất xứ: Pháp"/>
    <n v="7"/>
    <n v="9146666.666666666"/>
    <n v="0.1"/>
    <n v="0.37779489795918364"/>
  </r>
  <r>
    <n v="8"/>
    <n v="2025"/>
    <s v="KSNK"/>
    <s v="MN"/>
    <s v="Huỳnh Thị Thùy Linh"/>
    <s v="IB2400440860"/>
    <x v="65"/>
    <s v="Anios"/>
    <s v="Aniosyme X3"/>
    <x v="2"/>
    <s v="Xử lý dụng cụ"/>
    <s v="Làm sạch và tiền KK"/>
    <s v="Nhập khẩu"/>
    <n v="1000"/>
    <n v="1500"/>
    <n v="577668"/>
    <x v="1"/>
    <n v="530000"/>
    <n v="866502000"/>
    <n v="795000000"/>
    <n v="0.34"/>
    <s v="1. Thành phần: 14% N,N-Didecyl-N-Methyl-poly(oxyethyl)ammonium propionate + 0,3% Chlorhexidine digluconate, hỗn hợp 3 enzym: Protease, Lipase, Amylase, chất hoạt động bề mặt 2. Làm sạch và khử nhiễm đa enzyme Nồng độ sử dụng 0.5% (25ml dung dịch trong 5 lít nước) 3. Đạt tiêu chuẩn: ISO 15883 (chống lại màng Biofilm) 4. Hiệu quả diệt khuẩn: Diệt khuẩn trong 5 phút theo EN 14561 (bao gồm các dòng đa kháng MRSA, ESBL, VRE) Diệt virus trong 5 phút theo EN 14476 (HIV-1, HBV, HCV,HSV 1...) Diệt virus có vỏ bọc theo tiêu chuẩn EN 17111 (Vaccinia virus...) 5. Có thể pha loãng với nước cứng 6. Đạt tiêu chuẩn CE, ISO 13485, ISO 9001 Xuất xứ: Pháp"/>
    <n v="7"/>
    <n v="463750000"/>
    <n v="0.1"/>
    <n v="0.41266981132075475"/>
  </r>
  <r>
    <n v="8"/>
    <n v="2025"/>
    <s v="KSNK"/>
    <s v="MN"/>
    <s v="Huỳnh Thị Thùy Linh"/>
    <s v="IB2400440860"/>
    <x v="65"/>
    <s v="Anios"/>
    <s v="Aniospray Surf 29"/>
    <x v="5"/>
    <s v="Xử lý bề mặt"/>
    <s v="Phun tay"/>
    <s v="Nhập khẩu"/>
    <n v="500"/>
    <n v="1200"/>
    <n v="290000"/>
    <x v="1"/>
    <n v="260000"/>
    <n v="348000000"/>
    <n v="312000000"/>
    <n v="0.14000000000000001"/>
    <s v="1. Thành phần: 0,053% Didecyldimethyl ammonium chloride + 0,064 % Chlorhexidine digluconate kết hợp 22,6% Ethanol. 2. Khử khuẩn nhanh các bề mặt, thiết bị y tế dụng cụ y tế không xâm lấn và không thể khử khuẩn bằng cách ngâm đã được làm sạch giường bệnh, băng ca, xe đẩy bệnh nhân, xe cấp cứu. Thời gian tác dụng nhanh 5 phút 3. Hiệu quả diệt khuẩn (bao gồm MRSA, ESBL) theo EN 13697 trong 5 phút Diệt virus (PRV, BVDV, HSV 1, Vaccinia virus...) trong 1 phút theo EN 14476 4. Tương thích tốt với các chất liệu bề mặt 5. Đạt tiêu chuẩn CE, ISO 13485, ISO 9001 Xuất xứ: Pháp"/>
    <n v="7"/>
    <n v="182000000"/>
    <n v="0.1"/>
    <n v="0.39375923076923069"/>
  </r>
  <r>
    <n v="10"/>
    <n v="2025"/>
    <s v="KSNK"/>
    <s v="MB"/>
    <s v="Hứa Thùy Linh"/>
    <s v="IB2500406686"/>
    <x v="26"/>
    <s v="Anios"/>
    <s v="Aniosyme Synergy 5"/>
    <x v="4"/>
    <s v="Xử lý dụng cụ"/>
    <s v="Làm sạch và tiền KK"/>
    <s v="Nhập khẩu"/>
    <n v="5000"/>
    <n v="200"/>
    <n v="2160000"/>
    <x v="2"/>
    <m/>
    <n v="432000000"/>
    <n v="0"/>
    <n v="1"/>
    <s v="Hỗn hợp 5 enzyme Protease, Lipase, Amylase, Mannanase, Cellulase, có thể sử dụng cho máy rửa khử khuẩn. Đạt tiêu chuẩn ISO 11930, 15883 hoặc tương đương. Nồng độ sử dụng: từ 0.1% (máy rửa). pH = 6.8-7.3, Thời gian: từ 5 phút. Phù hợp với mọi chất lượng nước khác nhau. Can 5 lít. Đạt tiêu chuẩn ISO 13485"/>
    <n v="5"/>
    <n v="0"/>
    <m/>
    <m/>
  </r>
  <r>
    <n v="9"/>
    <n v="2025"/>
    <s v="KSNK"/>
    <s v="MN"/>
    <s v="Huỳnh Thị Thùy Linh"/>
    <s v="IB2500324246"/>
    <x v="43"/>
    <s v="Anios"/>
    <s v="Aniosyme X3"/>
    <x v="2"/>
    <s v="Xử lý dụng cụ"/>
    <s v="Làm sạch và tiền KK"/>
    <s v="Nhập khẩu"/>
    <n v="1000"/>
    <n v="300"/>
    <n v="577668"/>
    <x v="1"/>
    <n v="530000"/>
    <n v="173300400"/>
    <n v="159000000"/>
    <n v="0.11"/>
    <s v="1. Thành phần: 14% N,N-Didecyl-N-Methylpoly(oxyethyl)ammonium propionate + 0,3% Chlorhexidine digluconate, hỗn hợp 3 enzym: 0.5%-2% Protease, 0.1%-0.5% Lipase, 0.1%-0.5% Amylase, chất hoạt động bề mặt 2. Làm sạch và khử nhiễm. Thời gian tiếp xúc: từ 5 phút Nồng độ sử dụng 0.5% (25ml dung dịch trong 5 lít nước) 3. Đạt tiêu chuẩn: ISO 15883 (chống lại màng Biofilm) 4. Hiệu quả diệt khuẩn: Diệt khuẩn EN 14561 (Staphylococcus aureus, Pseudomonas aeruginosa, Enterococcus hirae...) Diệt virus EN 14476 (HIV-1, HBV, HCV,HSV 1...) Diệt virus có vỏ bọc theo tiêu chuẩn EN 17111 (Vaccinia virus...)"/>
    <n v="6"/>
    <n v="79500000"/>
    <n v="0.1"/>
    <n v="0.41266981132075475"/>
  </r>
  <r>
    <n v="9"/>
    <n v="2025"/>
    <s v="KSNK"/>
    <s v="MN"/>
    <s v="Huỳnh Thị Thùy Linh"/>
    <s v="IB2500324246"/>
    <x v="43"/>
    <s v="Anios"/>
    <s v="Aniosyme Synergy 5"/>
    <x v="9"/>
    <s v="Xử lý dụng cụ"/>
    <s v="Làm sạch và tiền KK"/>
    <s v="Nhập khẩu"/>
    <n v="1000"/>
    <n v="1000"/>
    <n v="440000"/>
    <x v="1"/>
    <n v="440000"/>
    <n v="440000000"/>
    <n v="440000000"/>
    <n v="0.28000000000000003"/>
    <s v="1. Hồn hợp 5 enzyme 1%-3% protease, 0.1%-0.5% lipase, 0.1%-0.5% amylase, 0.1%-0.5% mannanase, 0.1%-0.5% cellulase.2. Dùng được cho máy rửa tự động và ngâm rửa thủ côngNỗng độ sử dụng: từ 0.1% (máy rửa)pH = 6.89-7.29Thời gian: từ 5 phútPhù hợp với mọi chất lượng nước khác nhau3. Đạt tiêu chuẩn ISO 11930 (Khả năng kháng khuẩn của sản phẩm)4. Hiệu quả chống lại màng biofilm vi khuẩn Pseudomonas aeruginosa theo tiêu chuẩn ISO/TS 15883-5."/>
    <n v="6"/>
    <n v="220000000"/>
    <n v="0.1"/>
    <n v="0.40493249999999992"/>
  </r>
  <r>
    <n v="9"/>
    <n v="2025"/>
    <s v="KSNK"/>
    <s v="MN"/>
    <s v="Huỳnh Thị Thùy Linh"/>
    <s v="IB2500324246"/>
    <x v="43"/>
    <s v="Anios"/>
    <s v="Steranios 2%"/>
    <x v="6"/>
    <s v="Xử lý dụng cụ"/>
    <s v="KK mức độ cao"/>
    <s v="Nhập khẩu"/>
    <n v="1000"/>
    <n v="800"/>
    <n v="92000"/>
    <x v="1"/>
    <n v="85785"/>
    <n v="73600000"/>
    <n v="68628000"/>
    <n v="0.05"/>
    <s v="1. Thành phần: 2% Glutaraldehyde 2. không cần hoạt hóa, pH=6 Khử khuẩn mức độ cao: 10 phút. Tái sử dụng trong 30 ngày (tặng kèm test thử) 3. Hạn sử dụng sau mở nắp: 3 năm 4. Hiệu quả diệt khuẩn: - Diệt khuẩn EN 14561 (Enterococcus hirae, Pseudomonas aeruginosa, Staphylococcus aureus...) - Diệt nấm EN 14562 (Candida albicans, Aspergillus niger...) - Diệt vi khuẩn lao EN 14563 (Mycobacterium terrae, Mycobacterium avium...) - Diệt bào tử trong 120 phút theo EN 17126 (Clostridium difficile, Bacillus cereus, Bacillus subtilis) - Diệt virus EN 17111 (Adenovirus...)"/>
    <n v="6"/>
    <n v="34314000"/>
    <n v="0.1"/>
    <n v="0.42921559713236579"/>
  </r>
  <r>
    <n v="9"/>
    <n v="2025"/>
    <s v="KSNK"/>
    <s v="MN"/>
    <s v="Huỳnh Thị Thùy Linh"/>
    <s v="IB2500324246"/>
    <x v="43"/>
    <s v="Anios"/>
    <s v="Opaster'Anios"/>
    <x v="0"/>
    <s v="Xử lý dụng cụ"/>
    <s v="KK mức độ cao"/>
    <s v="Nhập khẩu"/>
    <n v="1000"/>
    <n v="1500"/>
    <n v="220000"/>
    <x v="1"/>
    <n v="196000"/>
    <n v="330000000"/>
    <n v="294000000"/>
    <n v="0.21"/>
    <s v="1. Thành phần: 0,55% Ortho- Phthalaldehyde, 2. pH=7, dung dịch sẵn sàng sử dụng (không pha loãng). Khử khuẩn mức độ cao trong 5 phút. Tái sử dụng trong 14 ngày (tặng kèm test thử để kiểm tra nồng độ OPA). 3. Hiệu quả diệt khuẩn: - Diệt khuẩn EN 14561 (Pseudomonas aeruginosa, Staphylococcus aureus, Enterococcus hirae...) - Diệt nấm EN 14562 (Candida albicans, Aspergillus niger...) - Diệt vi khuẩn lao EN 14563 (Mycobacterium terrae, Mycobacterium avium...) - Diệt bảo tử trong 30 phút theo EN 17126 (Clostridium difficile, Bacillus subtilis, Bacillus cereus) - Diệt virus EN 17111 (Adenovirus...) 4. Thời gian bảo quản dung dịch trong can sau khi mở nắp trên 3 tháng. 5. Có tài liệu chứng minh tương thích với ống nôi soi hãng Olympus/Fujifilm/Pentax/Karl Stozr"/>
    <n v="6"/>
    <n v="147000000"/>
    <n v="0.1"/>
    <n v="0.37779489795918364"/>
  </r>
  <r>
    <n v="9"/>
    <n v="2025"/>
    <s v="KSNK"/>
    <s v="MN"/>
    <s v="Huỳnh Thị Thùy Linh"/>
    <s v="IB2500324246"/>
    <x v="43"/>
    <s v="Anios"/>
    <s v="Surfa'Safe Premium"/>
    <x v="8"/>
    <s v="Xử lý bề mặt"/>
    <s v="Phun tay"/>
    <s v="Nhập khẩu"/>
    <n v="750"/>
    <n v="200"/>
    <n v="400260"/>
    <x v="1"/>
    <n v="360000"/>
    <n v="80052000"/>
    <n v="72000000"/>
    <n v="0.05"/>
    <s v="1. Thành phần: 0.3% Didecyldimethyl ammonium chloride, chất HĐBM, không chứa cồn 2. Làm sạch và khử khuẩn bề mặt trang thiết bị y tế. Tương thích với Polycarbonate, plexiglas. Đầu phun tạo bọt. Thời gian tiếp xúc: từ 2 phút 3. Hiệu quả diệt khuẩn theo EN 16615 (Enterococcus hirae, Pseudomonas aeruginosa, Staphylococcus aureus) Diệt virus theo tiêu chuẩn EN 14476 (Adenovirus, Norovirus Murine MNV)"/>
    <n v="6"/>
    <n v="36000000"/>
    <n v="0.1"/>
    <n v="0.56480833333333336"/>
  </r>
  <r>
    <m/>
    <m/>
    <m/>
    <m/>
    <m/>
    <m/>
    <x v="72"/>
    <m/>
    <m/>
    <x v="0"/>
    <s v="Xử lý dụng cụ"/>
    <s v="KK mức độ cao"/>
    <s v="Nhập khẩu"/>
    <n v="5000"/>
    <n v="700"/>
    <m/>
    <x v="1"/>
    <n v="980000"/>
    <m/>
    <n v="686000000"/>
    <m/>
    <m/>
    <n v="12"/>
    <n v="686000000"/>
    <n v="0.1"/>
    <n v="0.37779489795918364"/>
  </r>
  <r>
    <m/>
    <m/>
    <m/>
    <m/>
    <m/>
    <m/>
    <x v="73"/>
    <m/>
    <m/>
    <x v="8"/>
    <s v="Xử lý bề mặt"/>
    <s v="Phun tay"/>
    <s v="Nhập khẩu"/>
    <n v="750"/>
    <n v="500"/>
    <m/>
    <x v="1"/>
    <n v="360000"/>
    <m/>
    <n v="180000000"/>
    <m/>
    <m/>
    <n v="12"/>
    <n v="180000000"/>
    <n v="0.1"/>
    <n v="0.564808333333333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436C41-E397-4B4A-A57D-A06A205DC360}" name="PivotTable7" cacheId="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7" firstHeaderRow="1" firstDataRow="1" firstDataCol="1" rowPageCount="1" colPageCount="1"/>
  <pivotFields count="26">
    <pivotField showAll="0"/>
    <pivotField showAll="0"/>
    <pivotField showAll="0"/>
    <pivotField showAll="0"/>
    <pivotField showAll="0"/>
    <pivotField showAll="0"/>
    <pivotField axis="axisRow" showAll="0">
      <items count="75">
        <item x="55"/>
        <item x="72"/>
        <item x="29"/>
        <item x="3"/>
        <item x="54"/>
        <item x="16"/>
        <item x="69"/>
        <item x="8"/>
        <item x="56"/>
        <item x="17"/>
        <item x="18"/>
        <item x="63"/>
        <item x="59"/>
        <item x="33"/>
        <item x="19"/>
        <item x="71"/>
        <item x="20"/>
        <item x="25"/>
        <item x="66"/>
        <item x="37"/>
        <item x="31"/>
        <item x="4"/>
        <item x="40"/>
        <item x="5"/>
        <item x="41"/>
        <item x="0"/>
        <item x="64"/>
        <item x="70"/>
        <item x="52"/>
        <item x="58"/>
        <item x="67"/>
        <item x="62"/>
        <item x="48"/>
        <item x="73"/>
        <item x="6"/>
        <item x="38"/>
        <item x="21"/>
        <item x="35"/>
        <item x="27"/>
        <item x="24"/>
        <item x="50"/>
        <item x="42"/>
        <item x="65"/>
        <item x="9"/>
        <item x="34"/>
        <item x="32"/>
        <item x="10"/>
        <item x="51"/>
        <item x="36"/>
        <item x="26"/>
        <item x="60"/>
        <item x="1"/>
        <item x="49"/>
        <item x="61"/>
        <item x="22"/>
        <item x="43"/>
        <item x="11"/>
        <item x="44"/>
        <item x="12"/>
        <item x="23"/>
        <item x="13"/>
        <item x="28"/>
        <item x="14"/>
        <item x="7"/>
        <item x="47"/>
        <item x="57"/>
        <item x="53"/>
        <item x="2"/>
        <item x="30"/>
        <item x="45"/>
        <item x="46"/>
        <item x="68"/>
        <item x="39"/>
        <item x="15"/>
        <item t="default"/>
      </items>
    </pivotField>
    <pivotField showAll="0"/>
    <pivotField showAll="0"/>
    <pivotField axis="axisRow" showAll="0" sortType="descending">
      <items count="18">
        <item x="9"/>
        <item x="10"/>
        <item x="6"/>
        <item x="15"/>
        <item x="0"/>
        <item x="2"/>
        <item x="12"/>
        <item x="11"/>
        <item x="1"/>
        <item x="5"/>
        <item x="16"/>
        <item x="8"/>
        <item x="3"/>
        <item h="1" x="7"/>
        <item h="1" x="13"/>
        <item h="1" x="4"/>
        <item h="1" x="1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axis="axisPage" multipleItemSelectionAllowed="1" showAll="0">
      <items count="7">
        <item x="0"/>
        <item h="1" x="5"/>
        <item x="4"/>
        <item x="3"/>
        <item x="1"/>
        <item x="2"/>
        <item t="default"/>
      </items>
    </pivotField>
    <pivotField showAll="0"/>
    <pivotField showAll="0"/>
    <pivotField numFmtId="164" showAll="0"/>
    <pivotField showAll="0"/>
    <pivotField showAll="0"/>
    <pivotField showAll="0"/>
    <pivotField dataField="1" numFmtId="164" showAll="0"/>
    <pivotField showAll="0"/>
    <pivotField showAll="0"/>
  </pivotFields>
  <rowFields count="2">
    <field x="9"/>
    <field x="6"/>
  </rowFields>
  <rowItems count="124">
    <i>
      <x v="4"/>
    </i>
    <i r="1">
      <x v="1"/>
    </i>
    <i r="1">
      <x v="2"/>
    </i>
    <i r="1">
      <x v="3"/>
    </i>
    <i r="1">
      <x v="9"/>
    </i>
    <i r="1">
      <x v="11"/>
    </i>
    <i r="1">
      <x v="12"/>
    </i>
    <i r="1">
      <x v="13"/>
    </i>
    <i r="1">
      <x v="14"/>
    </i>
    <i r="1">
      <x v="20"/>
    </i>
    <i r="1">
      <x v="22"/>
    </i>
    <i r="1">
      <x v="23"/>
    </i>
    <i r="1">
      <x v="25"/>
    </i>
    <i r="1">
      <x v="28"/>
    </i>
    <i r="1">
      <x v="30"/>
    </i>
    <i r="1">
      <x v="32"/>
    </i>
    <i r="1">
      <x v="36"/>
    </i>
    <i r="1">
      <x v="37"/>
    </i>
    <i r="1">
      <x v="42"/>
    </i>
    <i r="1">
      <x v="48"/>
    </i>
    <i r="1">
      <x v="55"/>
    </i>
    <i r="1">
      <x v="68"/>
    </i>
    <i r="1">
      <x v="72"/>
    </i>
    <i>
      <x v="5"/>
    </i>
    <i r="1">
      <x v="6"/>
    </i>
    <i r="1">
      <x v="8"/>
    </i>
    <i r="1">
      <x v="15"/>
    </i>
    <i r="1">
      <x v="18"/>
    </i>
    <i r="1">
      <x v="27"/>
    </i>
    <i r="1">
      <x v="31"/>
    </i>
    <i r="1">
      <x v="32"/>
    </i>
    <i r="1">
      <x v="36"/>
    </i>
    <i r="1">
      <x v="41"/>
    </i>
    <i r="1">
      <x v="42"/>
    </i>
    <i r="1">
      <x v="51"/>
    </i>
    <i r="1">
      <x v="55"/>
    </i>
    <i>
      <x/>
    </i>
    <i r="1">
      <x v="2"/>
    </i>
    <i r="1">
      <x v="4"/>
    </i>
    <i r="1">
      <x v="5"/>
    </i>
    <i r="1">
      <x v="11"/>
    </i>
    <i r="1">
      <x v="20"/>
    </i>
    <i r="1">
      <x v="28"/>
    </i>
    <i r="1">
      <x v="37"/>
    </i>
    <i r="1">
      <x v="38"/>
    </i>
    <i r="1">
      <x v="47"/>
    </i>
    <i r="1">
      <x v="48"/>
    </i>
    <i r="1">
      <x v="55"/>
    </i>
    <i r="1">
      <x v="68"/>
    </i>
    <i r="1">
      <x v="72"/>
    </i>
    <i>
      <x v="1"/>
    </i>
    <i r="1">
      <x v="9"/>
    </i>
    <i r="1">
      <x v="30"/>
    </i>
    <i r="1">
      <x v="32"/>
    </i>
    <i r="1">
      <x v="36"/>
    </i>
    <i r="1">
      <x v="55"/>
    </i>
    <i>
      <x v="9"/>
    </i>
    <i r="1">
      <x v="4"/>
    </i>
    <i r="1">
      <x v="6"/>
    </i>
    <i r="1">
      <x v="7"/>
    </i>
    <i r="1">
      <x v="13"/>
    </i>
    <i r="1">
      <x v="21"/>
    </i>
    <i r="1">
      <x v="37"/>
    </i>
    <i r="1">
      <x v="42"/>
    </i>
    <i r="1">
      <x v="52"/>
    </i>
    <i r="1">
      <x v="66"/>
    </i>
    <i r="1">
      <x v="68"/>
    </i>
    <i r="1">
      <x v="71"/>
    </i>
    <i r="1">
      <x v="72"/>
    </i>
    <i>
      <x v="8"/>
    </i>
    <i r="1">
      <x v="19"/>
    </i>
    <i r="1">
      <x v="20"/>
    </i>
    <i r="1">
      <x v="25"/>
    </i>
    <i r="1">
      <x v="29"/>
    </i>
    <i r="1">
      <x v="30"/>
    </i>
    <i r="1">
      <x v="39"/>
    </i>
    <i r="1">
      <x v="46"/>
    </i>
    <i r="1">
      <x v="57"/>
    </i>
    <i r="1">
      <x v="70"/>
    </i>
    <i>
      <x v="11"/>
    </i>
    <i r="1">
      <x v="7"/>
    </i>
    <i r="1">
      <x v="32"/>
    </i>
    <i r="1">
      <x v="33"/>
    </i>
    <i r="1">
      <x v="37"/>
    </i>
    <i r="1">
      <x v="38"/>
    </i>
    <i r="1">
      <x v="48"/>
    </i>
    <i r="1">
      <x v="55"/>
    </i>
    <i>
      <x v="2"/>
    </i>
    <i r="1">
      <x v="2"/>
    </i>
    <i r="1">
      <x v="4"/>
    </i>
    <i r="1">
      <x v="9"/>
    </i>
    <i r="1">
      <x v="11"/>
    </i>
    <i r="1">
      <x v="15"/>
    </i>
    <i r="1">
      <x v="22"/>
    </i>
    <i r="1">
      <x v="23"/>
    </i>
    <i r="1">
      <x v="28"/>
    </i>
    <i r="1">
      <x v="45"/>
    </i>
    <i r="1">
      <x v="47"/>
    </i>
    <i r="1">
      <x v="55"/>
    </i>
    <i r="1">
      <x v="68"/>
    </i>
    <i r="1">
      <x v="71"/>
    </i>
    <i r="1">
      <x v="72"/>
    </i>
    <i>
      <x v="7"/>
    </i>
    <i r="1">
      <x v="8"/>
    </i>
    <i r="1">
      <x v="13"/>
    </i>
    <i r="1">
      <x v="32"/>
    </i>
    <i r="1">
      <x v="36"/>
    </i>
    <i r="1">
      <x v="65"/>
    </i>
    <i r="1">
      <x v="70"/>
    </i>
    <i r="1">
      <x v="71"/>
    </i>
    <i>
      <x v="12"/>
    </i>
    <i r="1">
      <x v="7"/>
    </i>
    <i r="1">
      <x v="32"/>
    </i>
    <i r="1">
      <x v="38"/>
    </i>
    <i r="1">
      <x v="42"/>
    </i>
    <i r="1">
      <x v="44"/>
    </i>
    <i r="1">
      <x v="51"/>
    </i>
    <i r="1">
      <x v="66"/>
    </i>
    <i>
      <x v="6"/>
    </i>
    <i r="1">
      <x v="30"/>
    </i>
    <i r="1">
      <x v="39"/>
    </i>
    <i>
      <x v="10"/>
    </i>
    <i r="1">
      <x v="40"/>
    </i>
    <i t="grand">
      <x/>
    </i>
  </rowItems>
  <colItems count="1">
    <i/>
  </colItems>
  <pageFields count="1">
    <pageField fld="16" hier="-1"/>
  </pageFields>
  <dataFields count="1">
    <dataField name="Sum of Doanh thu ước tính" fld="23"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3A2BB1-5E8C-481B-AC52-AEBB5B9AA797}" name="Table3" displayName="Table3" ref="A1:Q21" totalsRowShown="0">
  <autoFilter ref="A1:Q21" xr:uid="{68AF2DC5-BF49-44B4-BAFD-D7BD358D8B56}"/>
  <tableColumns count="17">
    <tableColumn id="1" xr3:uid="{54D25CC1-9684-4C06-95A9-8C29FD7BAE56}" name="Tên sản phẩm"/>
    <tableColumn id="2" xr3:uid="{33BDA3C9-C9F2-42E9-A43E-328BA242CAB9}" name="Giá EXW" dataDxfId="2" dataCellStyle="Comma"/>
    <tableColumn id="17" xr3:uid="{E2A28250-3FA8-4875-93AD-12B5480A7CA6}" name="Packing/Pallet"/>
    <tableColumn id="3" xr3:uid="{7D148999-3DA2-41C5-BF0E-48DE6529A399}" name="Feb.26"/>
    <tableColumn id="4" xr3:uid="{1255BCB3-59B7-4CBF-BC05-BBF97791D2F3}" name="Mar.26">
      <calculatedColumnFormula>SUMIFS(INDEX(NXT!$A:$ZZ, 0, MATCH(TEXT(EDATE(DATEVALUE("1-"&amp;SUBSTITUTE(E$1,".","-")),5),"mmm.yy"), NXT!$1:$1, 0)), NXT!$A:$A, $A2)</calculatedColumnFormula>
    </tableColumn>
    <tableColumn id="5" xr3:uid="{CA960C95-B296-4B65-B689-1DA3A5E22A54}" name="Apr.26">
      <calculatedColumnFormula>SUMIFS(INDEX(NXT!$A:$ZZ, 0, MATCH(TEXT(EDATE(DATEVALUE("1-"&amp;SUBSTITUTE(F$1,".","-")),5),"mmm.yy"), NXT!$1:$1, 0)), NXT!$A:$A, $A2)</calculatedColumnFormula>
    </tableColumn>
    <tableColumn id="6" xr3:uid="{8FA8271F-B826-46BF-8658-D93CE6FFCD37}" name="May.26">
      <calculatedColumnFormula>SUMIFS(INDEX(NXT!$A:$ZZ, 0, MATCH(TEXT(EDATE(DATEVALUE("1-"&amp;SUBSTITUTE(G$1,".","-")),5),"mmm.yy"), NXT!$1:$1, 0)), NXT!$A:$A, $A2)</calculatedColumnFormula>
    </tableColumn>
    <tableColumn id="7" xr3:uid="{225F160E-89D9-4C84-B8E8-C24CAADCA6C5}" name="Jun.26">
      <calculatedColumnFormula>SUMIFS(INDEX(NXT!$A:$ZZ, 0, MATCH(TEXT(EDATE(DATEVALUE("1-"&amp;SUBSTITUTE(H$1,".","-")),5),"mmm.yy"), NXT!$1:$1, 0)), NXT!$A:$A, $A2)</calculatedColumnFormula>
    </tableColumn>
    <tableColumn id="8" xr3:uid="{7309905D-B7CA-474B-AFC0-CD994B0C827B}" name="Jul.26">
      <calculatedColumnFormula>SUMIFS(INDEX(NXT!$A:$ZZ, 0, MATCH(TEXT(EDATE(DATEVALUE("1-"&amp;SUBSTITUTE(I$1,".","-")),5),"mmm.yy"), NXT!$1:$1, 0)), NXT!$A:$A, $A2)</calculatedColumnFormula>
    </tableColumn>
    <tableColumn id="9" xr3:uid="{5DFCBD96-2F78-415D-B305-BD926B9A4751}" name="Aug.26">
      <calculatedColumnFormula>SUMIFS(INDEX(NXT!$A:$ZZ, 0, MATCH(TEXT(EDATE(DATEVALUE("1-"&amp;SUBSTITUTE(J$1,".","-")),5),"mmm.yy"), NXT!$1:$1, 0)), NXT!$A:$A, $A2)</calculatedColumnFormula>
    </tableColumn>
    <tableColumn id="10" xr3:uid="{28607BFA-A015-4955-9133-2136B7EC1027}" name="Sep.26">
      <calculatedColumnFormula>SUMIFS(INDEX(NXT!$A:$ZZ, 0, MATCH(TEXT(EDATE(DATEVALUE("1-"&amp;SUBSTITUTE(K$1,".","-")),5),"mmm.yy"), NXT!$1:$1, 0)), NXT!$A:$A, $A2)</calculatedColumnFormula>
    </tableColumn>
    <tableColumn id="11" xr3:uid="{374B6858-3E57-4976-A9DB-13FAFC6E620A}" name="Oct.26">
      <calculatedColumnFormula>SUMIFS(INDEX(NXT!$A:$ZZ, 0, MATCH(TEXT(EDATE(DATEVALUE("1-"&amp;SUBSTITUTE(L$1,".","-")),5),"mmm.yy"), NXT!$1:$1, 0)), NXT!$A:$A, $A2)</calculatedColumnFormula>
    </tableColumn>
    <tableColumn id="12" xr3:uid="{EFE83917-03F2-45C2-BB43-891A1315FCE0}" name="Nov.26">
      <calculatedColumnFormula>SUMIFS(INDEX(NXT!$A:$ZZ, 0, MATCH(TEXT(EDATE(DATEVALUE("1-"&amp;SUBSTITUTE(M$1,".","-")),5),"mmm.yy"), NXT!$1:$1, 0)), NXT!$A:$A, $A2)</calculatedColumnFormula>
    </tableColumn>
    <tableColumn id="13" xr3:uid="{D0AB13A2-F479-4D09-86EF-FC4C167428D0}" name="Dec.26">
      <calculatedColumnFormula>SUMIFS(INDEX(NXT!$A:$ZZ, 0, MATCH(TEXT(EDATE(DATEVALUE("1-"&amp;SUBSTITUTE(N$1,".","-")),5),"mmm.yy"), NXT!$1:$1, 0)), NXT!$A:$A, $A2)</calculatedColumnFormula>
    </tableColumn>
    <tableColumn id="14" xr3:uid="{07A78733-8AD2-4BBE-9E5F-0FE7E5691BB3}" name="Jan.27"/>
    <tableColumn id="15" xr3:uid="{0117EFF8-55CE-48EF-A641-C47309E29DD5}" name="Feb.27"/>
    <tableColumn id="16" xr3:uid="{8712F1A5-65A4-435C-B11D-4150B30A8E17}" name="Mar.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FD1FBFE-0E70-42F0-AD80-095EC22427CA}" name="Table2" displayName="Table2" ref="A1:AN123" totalsRowShown="0" headerRowDxfId="8" dataDxfId="7" tableBorderDxfId="43">
  <autoFilter ref="A1:AN123" xr:uid="{437AEEED-ACC3-45BD-8275-B861071033BE}"/>
  <tableColumns count="40">
    <tableColumn id="1" xr3:uid="{6B8179E0-FD37-4630-8F56-0CFF4F94B769}" name="Tháng" dataDxfId="42"/>
    <tableColumn id="2" xr3:uid="{14D5DE6E-30FE-4B56-AD68-178BBF6C65F9}" name="Năm" dataDxfId="41"/>
    <tableColumn id="3" xr3:uid="{552585F1-8FBD-42C8-B013-020ECE14A19C}" name="Ngành hàng" dataDxfId="40"/>
    <tableColumn id="4" xr3:uid="{611FBC47-200E-4434-85CC-724516FAA864}" name="KV" dataDxfId="39"/>
    <tableColumn id="5" xr3:uid="{D57C79BE-2A53-4409-A25E-F63A70A056F1}" name="Tên PS" dataDxfId="38"/>
    <tableColumn id="6" xr3:uid="{C176CF7F-06A2-4E64-992E-525B6159C6C4}" name="Số IB" dataDxfId="37"/>
    <tableColumn id="7" xr3:uid="{9650F82C-3EE2-4071-80CF-0E6A7EC2C886}" name="Tên Khách hàng" dataDxfId="36"/>
    <tableColumn id="8" xr3:uid="{F7B01F8B-D4C6-45D8-B020-B3ED413566E7}" name="Hãng SX" dataDxfId="35"/>
    <tableColumn id="9" xr3:uid="{D8223947-053C-4AD9-9073-295DB6D6D782}" name="Tên mặt hàng dự thầu" dataDxfId="34"/>
    <tableColumn id="10" xr3:uid="{274146A4-639E-43C2-85A8-C828DC047966}" name="Sodel" dataDxfId="33"/>
    <tableColumn id="11" xr3:uid="{125591FD-B52A-4AA5-AE53-35E8DF855DEC}" name="Phân nhóm lớn sản phẩm trúng thầu" dataDxfId="32"/>
    <tableColumn id="12" xr3:uid="{22DF35B2-3824-4BCB-AFF8-7CD24475B8C3}" name="Phân nhóm nhỏ sản phẩm trúng thầu" dataDxfId="31"/>
    <tableColumn id="13" xr3:uid="{A41C7463-8142-4EA0-B52B-8DC22AE8D46E}" name="Nhập khẩu/ Việt Nam" dataDxfId="30"/>
    <tableColumn id="14" xr3:uid="{9358FE02-4416-4500-A3F4-C1044CC0AB52}" name="Dung tích" dataDxfId="29"/>
    <tableColumn id="15" xr3:uid="{75750560-1683-4303-BAF1-3B5297DC2BD4}" name=" Số lượng trúng thầu " dataDxfId="28"/>
    <tableColumn id="16" xr3:uid="{C3839C17-C700-4366-A18A-3068F8ABA0CB}" name="  Đơn giá trúng thầu  " dataDxfId="27"/>
    <tableColumn id="17" xr3:uid="{D33196E8-1532-4E84-AF65-19392CA0B205}" name="Pháp nhân bán hàng" dataDxfId="26"/>
    <tableColumn id="18" xr3:uid="{A18C1F80-A399-4AC5-A395-E36D5518DE3D}" name="Đơn giá Sodel" dataDxfId="25" dataCellStyle="Comma 2"/>
    <tableColumn id="19" xr3:uid="{214CED32-E608-471E-8FDB-8E773D25C5AE}" name="   Giá trị trúng thầu   " dataDxfId="24"/>
    <tableColumn id="20" xr3:uid="{1931DF6C-C69E-49D8-B482-18C0398497B2}" name="Giá trị trúng thầu (chưa VAT) SODEL" dataDxfId="23" dataCellStyle="Comma 2">
      <calculatedColumnFormula>R2*O2</calculatedColumnFormula>
    </tableColumn>
    <tableColumn id="21" xr3:uid="{BA83EE73-5D7A-4CF0-9B94-EA47769B2338}" name="Tỷ lệ_x000a_trúng thầu" dataDxfId="22"/>
    <tableColumn id="22" xr3:uid="{F0A10855-D5D1-4419-911F-892DEDF12187}" name="Cấu hình trúng thầu" dataDxfId="21"/>
    <tableColumn id="23" xr3:uid="{8B032680-47EF-420B-BCCB-8706D744469A}" name="Số tháng phát sinh" dataDxfId="20"/>
    <tableColumn id="24" xr3:uid="{36C848E0-1F15-4C53-B9D3-07E05438B71D}" name="Doanh thu ước tính" dataDxfId="19" dataCellStyle="Comma 2">
      <calculatedColumnFormula>T2*W2/12</calculatedColumnFormula>
    </tableColumn>
    <tableColumn id="25" xr3:uid="{F8460955-146A-4BBB-BFA4-BD8837CE461C}" name="CPK" dataDxfId="18" dataCellStyle="Percent 2">
      <calculatedColumnFormula>VLOOKUP(Q2,'[3]DATA VALID'!M:O,3,FALSE)</calculatedColumnFormula>
    </tableColumn>
    <tableColumn id="26" xr3:uid="{A4EB3F33-8FFD-49E5-A1F6-92DC4942F462}" name="%Margin" dataDxfId="17" dataCellStyle="Percent 2"/>
    <tableColumn id="38" xr3:uid="{ADD595FC-9794-46CF-BDA0-170BA57CC09E}" name="Apr.26" dataDxfId="3" dataCellStyle="Percent 2"/>
    <tableColumn id="37" xr3:uid="{370785D8-5699-4227-85F4-7AD7596710C8}" name="May.26" dataDxfId="4" dataCellStyle="Percent 2"/>
    <tableColumn id="36" xr3:uid="{D355F174-1E0B-425A-8336-068585EF3876}" name="Jun.26" dataDxfId="5" dataCellStyle="Percent 2"/>
    <tableColumn id="35" xr3:uid="{690FCF8B-17AB-40AF-A988-0ED9BC21651D}" name="Jul.26" dataDxfId="6" dataCellStyle="Percent 2"/>
    <tableColumn id="27" xr3:uid="{F5E46CA6-544F-40CF-A92C-EA0FE46B3976}" name="Aug.26" dataDxfId="16"/>
    <tableColumn id="28" xr3:uid="{9B36FF11-D462-4362-87CC-49286BD1230E}" name="Sep.26" dataDxfId="15"/>
    <tableColumn id="29" xr3:uid="{2B1E8EB3-3910-4072-A4DD-458A208E36E5}" name="Oct.26" dataDxfId="14"/>
    <tableColumn id="30" xr3:uid="{A652C32C-A60C-41E4-AA09-286C5A384730}" name="Nov.26" dataDxfId="13"/>
    <tableColumn id="31" xr3:uid="{2ADFB76E-BF11-49C1-911F-D2659814ACBD}" name="Dec.26" dataDxfId="12"/>
    <tableColumn id="32" xr3:uid="{002907D8-6360-4128-962B-48B90B90008E}" name="Jan.27" dataDxfId="11"/>
    <tableColumn id="33" xr3:uid="{219BCE21-2081-46C6-9438-067207AE847E}" name="Feb.27" dataDxfId="10"/>
    <tableColumn id="34" xr3:uid="{4523639F-0FB9-4E43-BA7F-635022791FA8}" name="Mar.27" dataDxfId="9"/>
    <tableColumn id="39" xr3:uid="{13C2695C-899B-465C-A3BF-44D821BC32DE}" name="Apr.27" dataDxfId="1"/>
    <tableColumn id="40" xr3:uid="{8D4A45C4-568A-4F12-A8D9-55FB63E1E6F0}" name="May.2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F19DB-1EB0-4988-8EB1-99C4B98E782B}">
  <dimension ref="A1:T22"/>
  <sheetViews>
    <sheetView tabSelected="1" workbookViewId="0">
      <selection activeCell="E22" sqref="E22"/>
    </sheetView>
  </sheetViews>
  <sheetFormatPr defaultRowHeight="14.5" x14ac:dyDescent="0.35"/>
  <cols>
    <col min="1" max="1" width="21.6328125" bestFit="1" customWidth="1"/>
    <col min="2" max="2" width="11.453125" style="64" hidden="1" customWidth="1"/>
    <col min="3" max="3" width="15" bestFit="1" customWidth="1"/>
    <col min="4" max="4" width="8.90625" bestFit="1" customWidth="1"/>
    <col min="5" max="5" width="11.6328125" bestFit="1" customWidth="1"/>
    <col min="6" max="7" width="8.90625" bestFit="1" customWidth="1"/>
    <col min="8" max="8" width="11.6328125" bestFit="1" customWidth="1"/>
    <col min="9" max="10" width="8.90625" bestFit="1" customWidth="1"/>
    <col min="11" max="11" width="11.6328125" bestFit="1" customWidth="1"/>
    <col min="12" max="13" width="8.90625" bestFit="1" customWidth="1"/>
    <col min="14" max="14" width="11.6328125" bestFit="1" customWidth="1"/>
    <col min="15" max="17" width="8.90625" bestFit="1" customWidth="1"/>
    <col min="18" max="19" width="12.6328125" bestFit="1" customWidth="1"/>
    <col min="20" max="20" width="12.54296875" bestFit="1" customWidth="1"/>
  </cols>
  <sheetData>
    <row r="1" spans="1:17" x14ac:dyDescent="0.35">
      <c r="A1" s="52" t="s">
        <v>394</v>
      </c>
      <c r="B1" s="64" t="s">
        <v>400</v>
      </c>
      <c r="C1" t="s">
        <v>401</v>
      </c>
      <c r="D1" t="s">
        <v>380</v>
      </c>
      <c r="E1" t="s">
        <v>381</v>
      </c>
      <c r="F1" t="s">
        <v>382</v>
      </c>
      <c r="G1" t="s">
        <v>383</v>
      </c>
      <c r="H1" t="s">
        <v>384</v>
      </c>
      <c r="I1" t="s">
        <v>385</v>
      </c>
      <c r="J1" t="s">
        <v>386</v>
      </c>
      <c r="K1" t="s">
        <v>387</v>
      </c>
      <c r="L1" t="s">
        <v>388</v>
      </c>
      <c r="M1" t="s">
        <v>389</v>
      </c>
      <c r="N1" t="s">
        <v>390</v>
      </c>
      <c r="O1" t="s">
        <v>391</v>
      </c>
      <c r="P1" t="s">
        <v>392</v>
      </c>
      <c r="Q1" t="s">
        <v>393</v>
      </c>
    </row>
    <row r="2" spans="1:17" x14ac:dyDescent="0.35">
      <c r="A2" t="s">
        <v>402</v>
      </c>
      <c r="B2" s="64">
        <v>1.7729999999999999</v>
      </c>
      <c r="C2">
        <v>672</v>
      </c>
      <c r="E2">
        <f>SUMIFS(INDEX(NXT!$A:$ZZ, 0, MATCH(TEXT(EDATE(DATEVALUE("1-"&amp;SUBSTITUTE(E$1,".","-")),5),"mmm.yy"), NXT!$1:$1, 0)), NXT!$A:$A, $A2)</f>
        <v>0</v>
      </c>
      <c r="F2">
        <f>SUMIFS(INDEX(NXT!$A:$ZZ, 0, MATCH(TEXT(EDATE(DATEVALUE("1-"&amp;SUBSTITUTE(F$1,".","-")),5),"mmm.yy"), NXT!$1:$1, 0)), NXT!$A:$A, $A2)</f>
        <v>0</v>
      </c>
      <c r="G2">
        <f>SUMIFS(INDEX(NXT!$A:$ZZ, 0, MATCH(TEXT(EDATE(DATEVALUE("1-"&amp;SUBSTITUTE(G$1,".","-")),5),"mmm.yy"), NXT!$1:$1, 0)), NXT!$A:$A, $A2)</f>
        <v>0</v>
      </c>
      <c r="H2">
        <f>SUMIFS(INDEX(NXT!$A:$ZZ, 0, MATCH(TEXT(EDATE(DATEVALUE("1-"&amp;SUBSTITUTE(H$1,".","-")),5),"mmm.yy"), NXT!$1:$1, 0)), NXT!$A:$A, $A2)</f>
        <v>0</v>
      </c>
      <c r="I2">
        <f>SUMIFS(INDEX(NXT!$A:$ZZ, 0, MATCH(TEXT(EDATE(DATEVALUE("1-"&amp;SUBSTITUTE(I$1,".","-")),5),"mmm.yy"), NXT!$1:$1, 0)), NXT!$A:$A, $A2)</f>
        <v>0</v>
      </c>
      <c r="J2">
        <f>SUMIFS(INDEX(NXT!$A:$ZZ, 0, MATCH(TEXT(EDATE(DATEVALUE("1-"&amp;SUBSTITUTE(J$1,".","-")),5),"mmm.yy"), NXT!$1:$1, 0)), NXT!$A:$A, $A2)</f>
        <v>0</v>
      </c>
      <c r="K2">
        <f>SUMIFS(INDEX(NXT!$A:$ZZ, 0, MATCH(TEXT(EDATE(DATEVALUE("1-"&amp;SUBSTITUTE(K$1,".","-")),5),"mmm.yy"), NXT!$1:$1, 0)), NXT!$A:$A, $A2)</f>
        <v>0</v>
      </c>
      <c r="L2">
        <f>SUMIFS(INDEX(NXT!$A:$ZZ, 0, MATCH(TEXT(EDATE(DATEVALUE("1-"&amp;SUBSTITUTE(L$1,".","-")),5),"mmm.yy"), NXT!$1:$1, 0)), NXT!$A:$A, $A2)</f>
        <v>0</v>
      </c>
      <c r="M2">
        <f>SUMIFS(INDEX(NXT!$A:$ZZ, 0, MATCH(TEXT(EDATE(DATEVALUE("1-"&amp;SUBSTITUTE(M$1,".","-")),5),"mmm.yy"), NXT!$1:$1, 0)), NXT!$A:$A, $A2)</f>
        <v>0</v>
      </c>
      <c r="N2">
        <f>SUMIFS(INDEX(NXT!$A:$ZZ, 0, MATCH(TEXT(EDATE(DATEVALUE("1-"&amp;SUBSTITUTE(N$1,".","-")),5),"mmm.yy"), NXT!$1:$1, 0)), NXT!$A:$A, $A2)</f>
        <v>0</v>
      </c>
    </row>
    <row r="3" spans="1:17" x14ac:dyDescent="0.35">
      <c r="A3" t="s">
        <v>403</v>
      </c>
      <c r="B3" s="64">
        <v>3.26</v>
      </c>
      <c r="C3">
        <v>288</v>
      </c>
      <c r="E3">
        <f>SUMIFS(INDEX(NXT!$A:$ZZ, 0, MATCH(TEXT(EDATE(DATEVALUE("1-"&amp;SUBSTITUTE(E$1,".","-")),5),"mmm.yy"), NXT!$1:$1, 0)), NXT!$A:$A, $A3)</f>
        <v>0</v>
      </c>
      <c r="F3">
        <f>SUMIFS(INDEX(NXT!$A:$ZZ, 0, MATCH(TEXT(EDATE(DATEVALUE("1-"&amp;SUBSTITUTE(F$1,".","-")),5),"mmm.yy"), NXT!$1:$1, 0)), NXT!$A:$A, $A3)</f>
        <v>0</v>
      </c>
      <c r="G3">
        <f>SUMIFS(INDEX(NXT!$A:$ZZ, 0, MATCH(TEXT(EDATE(DATEVALUE("1-"&amp;SUBSTITUTE(G$1,".","-")),5),"mmm.yy"), NXT!$1:$1, 0)), NXT!$A:$A, $A3)</f>
        <v>0</v>
      </c>
      <c r="H3">
        <f>SUMIFS(INDEX(NXT!$A:$ZZ, 0, MATCH(TEXT(EDATE(DATEVALUE("1-"&amp;SUBSTITUTE(H$1,".","-")),5),"mmm.yy"), NXT!$1:$1, 0)), NXT!$A:$A, $A3)</f>
        <v>0</v>
      </c>
      <c r="I3">
        <f>SUMIFS(INDEX(NXT!$A:$ZZ, 0, MATCH(TEXT(EDATE(DATEVALUE("1-"&amp;SUBSTITUTE(I$1,".","-")),5),"mmm.yy"), NXT!$1:$1, 0)), NXT!$A:$A, $A3)</f>
        <v>0</v>
      </c>
      <c r="J3">
        <f>SUMIFS(INDEX(NXT!$A:$ZZ, 0, MATCH(TEXT(EDATE(DATEVALUE("1-"&amp;SUBSTITUTE(J$1,".","-")),5),"mmm.yy"), NXT!$1:$1, 0)), NXT!$A:$A, $A3)</f>
        <v>0</v>
      </c>
      <c r="K3">
        <f>SUMIFS(INDEX(NXT!$A:$ZZ, 0, MATCH(TEXT(EDATE(DATEVALUE("1-"&amp;SUBSTITUTE(K$1,".","-")),5),"mmm.yy"), NXT!$1:$1, 0)), NXT!$A:$A, $A3)</f>
        <v>0</v>
      </c>
      <c r="L3">
        <f>SUMIFS(INDEX(NXT!$A:$ZZ, 0, MATCH(TEXT(EDATE(DATEVALUE("1-"&amp;SUBSTITUTE(L$1,".","-")),5),"mmm.yy"), NXT!$1:$1, 0)), NXT!$A:$A, $A3)</f>
        <v>0</v>
      </c>
      <c r="M3">
        <f>SUMIFS(INDEX(NXT!$A:$ZZ, 0, MATCH(TEXT(EDATE(DATEVALUE("1-"&amp;SUBSTITUTE(M$1,".","-")),5),"mmm.yy"), NXT!$1:$1, 0)), NXT!$A:$A, $A3)</f>
        <v>0</v>
      </c>
      <c r="N3">
        <f>SUMIFS(INDEX(NXT!$A:$ZZ, 0, MATCH(TEXT(EDATE(DATEVALUE("1-"&amp;SUBSTITUTE(N$1,".","-")),5),"mmm.yy"), NXT!$1:$1, 0)), NXT!$A:$A, $A3)</f>
        <v>0</v>
      </c>
    </row>
    <row r="4" spans="1:17" x14ac:dyDescent="0.35">
      <c r="A4" t="s">
        <v>404</v>
      </c>
      <c r="B4" s="64">
        <v>3.15</v>
      </c>
      <c r="C4">
        <v>324</v>
      </c>
      <c r="E4">
        <f>SUMIFS(INDEX(NXT!$A:$ZZ, 0, MATCH(TEXT(EDATE(DATEVALUE("1-"&amp;SUBSTITUTE(E$1,".","-")),5),"mmm.yy"), NXT!$1:$1, 0)), NXT!$A:$A, $A4)</f>
        <v>0</v>
      </c>
      <c r="F4">
        <f>SUMIFS(INDEX(NXT!$A:$ZZ, 0, MATCH(TEXT(EDATE(DATEVALUE("1-"&amp;SUBSTITUTE(F$1,".","-")),5),"mmm.yy"), NXT!$1:$1, 0)), NXT!$A:$A, $A4)</f>
        <v>0</v>
      </c>
      <c r="G4">
        <f>SUMIFS(INDEX(NXT!$A:$ZZ, 0, MATCH(TEXT(EDATE(DATEVALUE("1-"&amp;SUBSTITUTE(G$1,".","-")),5),"mmm.yy"), NXT!$1:$1, 0)), NXT!$A:$A, $A4)</f>
        <v>0</v>
      </c>
      <c r="H4">
        <f>SUMIFS(INDEX(NXT!$A:$ZZ, 0, MATCH(TEXT(EDATE(DATEVALUE("1-"&amp;SUBSTITUTE(H$1,".","-")),5),"mmm.yy"), NXT!$1:$1, 0)), NXT!$A:$A, $A4)</f>
        <v>0</v>
      </c>
      <c r="I4">
        <f>SUMIFS(INDEX(NXT!$A:$ZZ, 0, MATCH(TEXT(EDATE(DATEVALUE("1-"&amp;SUBSTITUTE(I$1,".","-")),5),"mmm.yy"), NXT!$1:$1, 0)), NXT!$A:$A, $A4)</f>
        <v>0</v>
      </c>
      <c r="J4">
        <f>SUMIFS(INDEX(NXT!$A:$ZZ, 0, MATCH(TEXT(EDATE(DATEVALUE("1-"&amp;SUBSTITUTE(J$1,".","-")),5),"mmm.yy"), NXT!$1:$1, 0)), NXT!$A:$A, $A4)</f>
        <v>0</v>
      </c>
      <c r="K4">
        <f>SUMIFS(INDEX(NXT!$A:$ZZ, 0, MATCH(TEXT(EDATE(DATEVALUE("1-"&amp;SUBSTITUTE(K$1,".","-")),5),"mmm.yy"), NXT!$1:$1, 0)), NXT!$A:$A, $A4)</f>
        <v>0</v>
      </c>
      <c r="L4">
        <f>SUMIFS(INDEX(NXT!$A:$ZZ, 0, MATCH(TEXT(EDATE(DATEVALUE("1-"&amp;SUBSTITUTE(L$1,".","-")),5),"mmm.yy"), NXT!$1:$1, 0)), NXT!$A:$A, $A4)</f>
        <v>0</v>
      </c>
      <c r="M4">
        <f>SUMIFS(INDEX(NXT!$A:$ZZ, 0, MATCH(TEXT(EDATE(DATEVALUE("1-"&amp;SUBSTITUTE(M$1,".","-")),5),"mmm.yy"), NXT!$1:$1, 0)), NXT!$A:$A, $A4)</f>
        <v>0</v>
      </c>
      <c r="N4">
        <f>SUMIFS(INDEX(NXT!$A:$ZZ, 0, MATCH(TEXT(EDATE(DATEVALUE("1-"&amp;SUBSTITUTE(N$1,".","-")),5),"mmm.yy"), NXT!$1:$1, 0)), NXT!$A:$A, $A4)</f>
        <v>0</v>
      </c>
    </row>
    <row r="5" spans="1:17" x14ac:dyDescent="0.35">
      <c r="A5" t="s">
        <v>405</v>
      </c>
      <c r="B5" s="64">
        <v>3.3740000000000001</v>
      </c>
      <c r="C5">
        <v>288</v>
      </c>
      <c r="E5">
        <f>SUMIFS(INDEX(NXT!$A:$ZZ, 0, MATCH(TEXT(EDATE(DATEVALUE("1-"&amp;SUBSTITUTE(E$1,".","-")),5),"mmm.yy"), NXT!$1:$1, 0)), NXT!$A:$A, $A5)</f>
        <v>0</v>
      </c>
      <c r="F5">
        <f>SUMIFS(INDEX(NXT!$A:$ZZ, 0, MATCH(TEXT(EDATE(DATEVALUE("1-"&amp;SUBSTITUTE(F$1,".","-")),5),"mmm.yy"), NXT!$1:$1, 0)), NXT!$A:$A, $A5)</f>
        <v>0</v>
      </c>
      <c r="G5">
        <f>SUMIFS(INDEX(NXT!$A:$ZZ, 0, MATCH(TEXT(EDATE(DATEVALUE("1-"&amp;SUBSTITUTE(G$1,".","-")),5),"mmm.yy"), NXT!$1:$1, 0)), NXT!$A:$A, $A5)</f>
        <v>0</v>
      </c>
      <c r="H5">
        <f>SUMIFS(INDEX(NXT!$A:$ZZ, 0, MATCH(TEXT(EDATE(DATEVALUE("1-"&amp;SUBSTITUTE(H$1,".","-")),5),"mmm.yy"), NXT!$1:$1, 0)), NXT!$A:$A, $A5)</f>
        <v>0</v>
      </c>
      <c r="I5">
        <f>SUMIFS(INDEX(NXT!$A:$ZZ, 0, MATCH(TEXT(EDATE(DATEVALUE("1-"&amp;SUBSTITUTE(I$1,".","-")),5),"mmm.yy"), NXT!$1:$1, 0)), NXT!$A:$A, $A5)</f>
        <v>0</v>
      </c>
      <c r="J5">
        <f>SUMIFS(INDEX(NXT!$A:$ZZ, 0, MATCH(TEXT(EDATE(DATEVALUE("1-"&amp;SUBSTITUTE(J$1,".","-")),5),"mmm.yy"), NXT!$1:$1, 0)), NXT!$A:$A, $A5)</f>
        <v>0</v>
      </c>
      <c r="K5">
        <f>SUMIFS(INDEX(NXT!$A:$ZZ, 0, MATCH(TEXT(EDATE(DATEVALUE("1-"&amp;SUBSTITUTE(K$1,".","-")),5),"mmm.yy"), NXT!$1:$1, 0)), NXT!$A:$A, $A5)</f>
        <v>0</v>
      </c>
      <c r="L5">
        <f>SUMIFS(INDEX(NXT!$A:$ZZ, 0, MATCH(TEXT(EDATE(DATEVALUE("1-"&amp;SUBSTITUTE(L$1,".","-")),5),"mmm.yy"), NXT!$1:$1, 0)), NXT!$A:$A, $A5)</f>
        <v>0</v>
      </c>
      <c r="M5">
        <f>SUMIFS(INDEX(NXT!$A:$ZZ, 0, MATCH(TEXT(EDATE(DATEVALUE("1-"&amp;SUBSTITUTE(M$1,".","-")),5),"mmm.yy"), NXT!$1:$1, 0)), NXT!$A:$A, $A5)</f>
        <v>0</v>
      </c>
      <c r="N5">
        <f>SUMIFS(INDEX(NXT!$A:$ZZ, 0, MATCH(TEXT(EDATE(DATEVALUE("1-"&amp;SUBSTITUTE(N$1,".","-")),5),"mmm.yy"), NXT!$1:$1, 0)), NXT!$A:$A, $A5)</f>
        <v>0</v>
      </c>
    </row>
    <row r="6" spans="1:17" x14ac:dyDescent="0.35">
      <c r="A6" t="s">
        <v>406</v>
      </c>
      <c r="B6" s="64">
        <v>2.1</v>
      </c>
      <c r="C6">
        <v>672</v>
      </c>
      <c r="E6">
        <f>SUMIFS(INDEX(NXT!$A:$ZZ, 0, MATCH(TEXT(EDATE(DATEVALUE("1-"&amp;SUBSTITUTE(E$1,".","-")),5),"mmm.yy"), NXT!$1:$1, 0)), NXT!$A:$A, $A6)</f>
        <v>0</v>
      </c>
      <c r="F6">
        <f>SUMIFS(INDEX(NXT!$A:$ZZ, 0, MATCH(TEXT(EDATE(DATEVALUE("1-"&amp;SUBSTITUTE(F$1,".","-")),5),"mmm.yy"), NXT!$1:$1, 0)), NXT!$A:$A, $A6)</f>
        <v>0</v>
      </c>
      <c r="G6">
        <f>SUMIFS(INDEX(NXT!$A:$ZZ, 0, MATCH(TEXT(EDATE(DATEVALUE("1-"&amp;SUBSTITUTE(G$1,".","-")),5),"mmm.yy"), NXT!$1:$1, 0)), NXT!$A:$A, $A6)</f>
        <v>0</v>
      </c>
      <c r="H6">
        <f>SUMIFS(INDEX(NXT!$A:$ZZ, 0, MATCH(TEXT(EDATE(DATEVALUE("1-"&amp;SUBSTITUTE(H$1,".","-")),5),"mmm.yy"), NXT!$1:$1, 0)), NXT!$A:$A, $A6)</f>
        <v>0</v>
      </c>
      <c r="I6">
        <f>SUMIFS(INDEX(NXT!$A:$ZZ, 0, MATCH(TEXT(EDATE(DATEVALUE("1-"&amp;SUBSTITUTE(I$1,".","-")),5),"mmm.yy"), NXT!$1:$1, 0)), NXT!$A:$A, $A6)</f>
        <v>0</v>
      </c>
      <c r="J6">
        <f>SUMIFS(INDEX(NXT!$A:$ZZ, 0, MATCH(TEXT(EDATE(DATEVALUE("1-"&amp;SUBSTITUTE(J$1,".","-")),5),"mmm.yy"), NXT!$1:$1, 0)), NXT!$A:$A, $A6)</f>
        <v>0</v>
      </c>
      <c r="K6">
        <f>SUMIFS(INDEX(NXT!$A:$ZZ, 0, MATCH(TEXT(EDATE(DATEVALUE("1-"&amp;SUBSTITUTE(K$1,".","-")),5),"mmm.yy"), NXT!$1:$1, 0)), NXT!$A:$A, $A6)</f>
        <v>0</v>
      </c>
      <c r="L6">
        <f>SUMIFS(INDEX(NXT!$A:$ZZ, 0, MATCH(TEXT(EDATE(DATEVALUE("1-"&amp;SUBSTITUTE(L$1,".","-")),5),"mmm.yy"), NXT!$1:$1, 0)), NXT!$A:$A, $A6)</f>
        <v>0</v>
      </c>
      <c r="M6">
        <f>SUMIFS(INDEX(NXT!$A:$ZZ, 0, MATCH(TEXT(EDATE(DATEVALUE("1-"&amp;SUBSTITUTE(M$1,".","-")),5),"mmm.yy"), NXT!$1:$1, 0)), NXT!$A:$A, $A6)</f>
        <v>0</v>
      </c>
      <c r="N6">
        <f>SUMIFS(INDEX(NXT!$A:$ZZ, 0, MATCH(TEXT(EDATE(DATEVALUE("1-"&amp;SUBSTITUTE(N$1,".","-")),5),"mmm.yy"), NXT!$1:$1, 0)), NXT!$A:$A, $A6)</f>
        <v>0</v>
      </c>
    </row>
    <row r="7" spans="1:17" x14ac:dyDescent="0.35">
      <c r="A7" t="s">
        <v>8</v>
      </c>
      <c r="B7" s="64">
        <v>3.9060000000000001</v>
      </c>
      <c r="C7">
        <v>288</v>
      </c>
      <c r="E7">
        <f>SUMIFS(INDEX(NXT!$A:$ZZ, 0, MATCH(TEXT(EDATE(DATEVALUE("1-"&amp;SUBSTITUTE(E$1,".","-")),5),"mmm.yy"), NXT!$1:$1, 0)), NXT!$A:$A, $A7)</f>
        <v>0</v>
      </c>
      <c r="F7">
        <f>SUMIFS(INDEX(NXT!$A:$ZZ, 0, MATCH(TEXT(EDATE(DATEVALUE("1-"&amp;SUBSTITUTE(F$1,".","-")),5),"mmm.yy"), NXT!$1:$1, 0)), NXT!$A:$A, $A7)</f>
        <v>864</v>
      </c>
      <c r="G7">
        <f>SUMIFS(INDEX(NXT!$A:$ZZ, 0, MATCH(TEXT(EDATE(DATEVALUE("1-"&amp;SUBSTITUTE(G$1,".","-")),5),"mmm.yy"), NXT!$1:$1, 0)), NXT!$A:$A, $A7)</f>
        <v>288</v>
      </c>
      <c r="H7">
        <f>SUMIFS(INDEX(NXT!$A:$ZZ, 0, MATCH(TEXT(EDATE(DATEVALUE("1-"&amp;SUBSTITUTE(H$1,".","-")),5),"mmm.yy"), NXT!$1:$1, 0)), NXT!$A:$A, $A7)</f>
        <v>0</v>
      </c>
      <c r="I7">
        <f>SUMIFS(INDEX(NXT!$A:$ZZ, 0, MATCH(TEXT(EDATE(DATEVALUE("1-"&amp;SUBSTITUTE(I$1,".","-")),5),"mmm.yy"), NXT!$1:$1, 0)), NXT!$A:$A, $A7)</f>
        <v>864</v>
      </c>
      <c r="J7">
        <f>SUMIFS(INDEX(NXT!$A:$ZZ, 0, MATCH(TEXT(EDATE(DATEVALUE("1-"&amp;SUBSTITUTE(J$1,".","-")),5),"mmm.yy"), NXT!$1:$1, 0)), NXT!$A:$A, $A7)</f>
        <v>0</v>
      </c>
      <c r="K7">
        <f>SUMIFS(INDEX(NXT!$A:$ZZ, 0, MATCH(TEXT(EDATE(DATEVALUE("1-"&amp;SUBSTITUTE(K$1,".","-")),5),"mmm.yy"), NXT!$1:$1, 0)), NXT!$A:$A, $A7)</f>
        <v>1440</v>
      </c>
      <c r="L7">
        <f>SUMIFS(INDEX(NXT!$A:$ZZ, 0, MATCH(TEXT(EDATE(DATEVALUE("1-"&amp;SUBSTITUTE(L$1,".","-")),5),"mmm.yy"), NXT!$1:$1, 0)), NXT!$A:$A, $A7)</f>
        <v>0</v>
      </c>
      <c r="M7">
        <f>SUMIFS(INDEX(NXT!$A:$ZZ, 0, MATCH(TEXT(EDATE(DATEVALUE("1-"&amp;SUBSTITUTE(M$1,".","-")),5),"mmm.yy"), NXT!$1:$1, 0)), NXT!$A:$A, $A7)</f>
        <v>864</v>
      </c>
      <c r="N7">
        <f>SUMIFS(INDEX(NXT!$A:$ZZ, 0, MATCH(TEXT(EDATE(DATEVALUE("1-"&amp;SUBSTITUTE(N$1,".","-")),5),"mmm.yy"), NXT!$1:$1, 0)), NXT!$A:$A, $A7)</f>
        <v>0</v>
      </c>
    </row>
    <row r="8" spans="1:17" x14ac:dyDescent="0.35">
      <c r="A8" t="s">
        <v>15</v>
      </c>
      <c r="B8" s="64">
        <v>10.76</v>
      </c>
      <c r="C8">
        <v>96</v>
      </c>
      <c r="E8">
        <f>SUMIFS(INDEX(NXT!$A:$ZZ, 0, MATCH(TEXT(EDATE(DATEVALUE("1-"&amp;SUBSTITUTE(E$1,".","-")),5),"mmm.yy"), NXT!$1:$1, 0)), NXT!$A:$A, $A8)</f>
        <v>0</v>
      </c>
      <c r="F8">
        <f>SUMIFS(INDEX(NXT!$A:$ZZ, 0, MATCH(TEXT(EDATE(DATEVALUE("1-"&amp;SUBSTITUTE(F$1,".","-")),5),"mmm.yy"), NXT!$1:$1, 0)), NXT!$A:$A, $A8)</f>
        <v>0</v>
      </c>
      <c r="G8">
        <f>SUMIFS(INDEX(NXT!$A:$ZZ, 0, MATCH(TEXT(EDATE(DATEVALUE("1-"&amp;SUBSTITUTE(G$1,".","-")),5),"mmm.yy"), NXT!$1:$1, 0)), NXT!$A:$A, $A8)</f>
        <v>0</v>
      </c>
      <c r="H8">
        <f>SUMIFS(INDEX(NXT!$A:$ZZ, 0, MATCH(TEXT(EDATE(DATEVALUE("1-"&amp;SUBSTITUTE(H$1,".","-")),5),"mmm.yy"), NXT!$1:$1, 0)), NXT!$A:$A, $A8)</f>
        <v>0</v>
      </c>
      <c r="I8">
        <f>SUMIFS(INDEX(NXT!$A:$ZZ, 0, MATCH(TEXT(EDATE(DATEVALUE("1-"&amp;SUBSTITUTE(I$1,".","-")),5),"mmm.yy"), NXT!$1:$1, 0)), NXT!$A:$A, $A8)</f>
        <v>0</v>
      </c>
      <c r="J8">
        <f>SUMIFS(INDEX(NXT!$A:$ZZ, 0, MATCH(TEXT(EDATE(DATEVALUE("1-"&amp;SUBSTITUTE(J$1,".","-")),5),"mmm.yy"), NXT!$1:$1, 0)), NXT!$A:$A, $A8)</f>
        <v>0</v>
      </c>
      <c r="K8">
        <f>SUMIFS(INDEX(NXT!$A:$ZZ, 0, MATCH(TEXT(EDATE(DATEVALUE("1-"&amp;SUBSTITUTE(K$1,".","-")),5),"mmm.yy"), NXT!$1:$1, 0)), NXT!$A:$A, $A8)</f>
        <v>0</v>
      </c>
      <c r="L8">
        <f>SUMIFS(INDEX(NXT!$A:$ZZ, 0, MATCH(TEXT(EDATE(DATEVALUE("1-"&amp;SUBSTITUTE(L$1,".","-")),5),"mmm.yy"), NXT!$1:$1, 0)), NXT!$A:$A, $A8)</f>
        <v>0</v>
      </c>
      <c r="M8">
        <f>SUMIFS(INDEX(NXT!$A:$ZZ, 0, MATCH(TEXT(EDATE(DATEVALUE("1-"&amp;SUBSTITUTE(M$1,".","-")),5),"mmm.yy"), NXT!$1:$1, 0)), NXT!$A:$A, $A8)</f>
        <v>0</v>
      </c>
      <c r="N8">
        <f>SUMIFS(INDEX(NXT!$A:$ZZ, 0, MATCH(TEXT(EDATE(DATEVALUE("1-"&amp;SUBSTITUTE(N$1,".","-")),5),"mmm.yy"), NXT!$1:$1, 0)), NXT!$A:$A, $A8)</f>
        <v>0</v>
      </c>
    </row>
    <row r="9" spans="1:17" x14ac:dyDescent="0.35">
      <c r="A9" t="s">
        <v>407</v>
      </c>
      <c r="B9" s="64">
        <v>4.59</v>
      </c>
      <c r="C9">
        <v>252</v>
      </c>
      <c r="E9">
        <f>SUMIFS(INDEX(NXT!$A:$ZZ, 0, MATCH(TEXT(EDATE(DATEVALUE("1-"&amp;SUBSTITUTE(E$1,".","-")),5),"mmm.yy"), NXT!$1:$1, 0)), NXT!$A:$A, $A9)</f>
        <v>0</v>
      </c>
      <c r="F9">
        <f>SUMIFS(INDEX(NXT!$A:$ZZ, 0, MATCH(TEXT(EDATE(DATEVALUE("1-"&amp;SUBSTITUTE(F$1,".","-")),5),"mmm.yy"), NXT!$1:$1, 0)), NXT!$A:$A, $A9)</f>
        <v>0</v>
      </c>
      <c r="G9">
        <f>SUMIFS(INDEX(NXT!$A:$ZZ, 0, MATCH(TEXT(EDATE(DATEVALUE("1-"&amp;SUBSTITUTE(G$1,".","-")),5),"mmm.yy"), NXT!$1:$1, 0)), NXT!$A:$A, $A9)</f>
        <v>0</v>
      </c>
      <c r="H9">
        <f>SUMIFS(INDEX(NXT!$A:$ZZ, 0, MATCH(TEXT(EDATE(DATEVALUE("1-"&amp;SUBSTITUTE(H$1,".","-")),5),"mmm.yy"), NXT!$1:$1, 0)), NXT!$A:$A, $A9)</f>
        <v>0</v>
      </c>
      <c r="I9">
        <f>SUMIFS(INDEX(NXT!$A:$ZZ, 0, MATCH(TEXT(EDATE(DATEVALUE("1-"&amp;SUBSTITUTE(I$1,".","-")),5),"mmm.yy"), NXT!$1:$1, 0)), NXT!$A:$A, $A9)</f>
        <v>0</v>
      </c>
      <c r="J9">
        <f>SUMIFS(INDEX(NXT!$A:$ZZ, 0, MATCH(TEXT(EDATE(DATEVALUE("1-"&amp;SUBSTITUTE(J$1,".","-")),5),"mmm.yy"), NXT!$1:$1, 0)), NXT!$A:$A, $A9)</f>
        <v>0</v>
      </c>
      <c r="K9">
        <f>SUMIFS(INDEX(NXT!$A:$ZZ, 0, MATCH(TEXT(EDATE(DATEVALUE("1-"&amp;SUBSTITUTE(K$1,".","-")),5),"mmm.yy"), NXT!$1:$1, 0)), NXT!$A:$A, $A9)</f>
        <v>0</v>
      </c>
      <c r="L9">
        <f>SUMIFS(INDEX(NXT!$A:$ZZ, 0, MATCH(TEXT(EDATE(DATEVALUE("1-"&amp;SUBSTITUTE(L$1,".","-")),5),"mmm.yy"), NXT!$1:$1, 0)), NXT!$A:$A, $A9)</f>
        <v>0</v>
      </c>
      <c r="M9">
        <f>SUMIFS(INDEX(NXT!$A:$ZZ, 0, MATCH(TEXT(EDATE(DATEVALUE("1-"&amp;SUBSTITUTE(M$1,".","-")),5),"mmm.yy"), NXT!$1:$1, 0)), NXT!$A:$A, $A9)</f>
        <v>0</v>
      </c>
      <c r="N9">
        <f>SUMIFS(INDEX(NXT!$A:$ZZ, 0, MATCH(TEXT(EDATE(DATEVALUE("1-"&amp;SUBSTITUTE(N$1,".","-")),5),"mmm.yy"), NXT!$1:$1, 0)), NXT!$A:$A, $A9)</f>
        <v>0</v>
      </c>
    </row>
    <row r="10" spans="1:17" x14ac:dyDescent="0.35">
      <c r="A10" t="s">
        <v>408</v>
      </c>
      <c r="B10" s="64">
        <v>17.739999999999998</v>
      </c>
      <c r="C10">
        <v>96</v>
      </c>
      <c r="E10">
        <f>SUMIFS(INDEX(NXT!$A:$ZZ, 0, MATCH(TEXT(EDATE(DATEVALUE("1-"&amp;SUBSTITUTE(E$1,".","-")),5),"mmm.yy"), NXT!$1:$1, 0)), NXT!$A:$A, $A10)</f>
        <v>0</v>
      </c>
      <c r="F10">
        <f>SUMIFS(INDEX(NXT!$A:$ZZ, 0, MATCH(TEXT(EDATE(DATEVALUE("1-"&amp;SUBSTITUTE(F$1,".","-")),5),"mmm.yy"), NXT!$1:$1, 0)), NXT!$A:$A, $A10)</f>
        <v>0</v>
      </c>
      <c r="G10">
        <f>SUMIFS(INDEX(NXT!$A:$ZZ, 0, MATCH(TEXT(EDATE(DATEVALUE("1-"&amp;SUBSTITUTE(G$1,".","-")),5),"mmm.yy"), NXT!$1:$1, 0)), NXT!$A:$A, $A10)</f>
        <v>0</v>
      </c>
      <c r="H10">
        <f>SUMIFS(INDEX(NXT!$A:$ZZ, 0, MATCH(TEXT(EDATE(DATEVALUE("1-"&amp;SUBSTITUTE(H$1,".","-")),5),"mmm.yy"), NXT!$1:$1, 0)), NXT!$A:$A, $A10)</f>
        <v>0</v>
      </c>
      <c r="I10">
        <f>SUMIFS(INDEX(NXT!$A:$ZZ, 0, MATCH(TEXT(EDATE(DATEVALUE("1-"&amp;SUBSTITUTE(I$1,".","-")),5),"mmm.yy"), NXT!$1:$1, 0)), NXT!$A:$A, $A10)</f>
        <v>0</v>
      </c>
      <c r="J10">
        <f>SUMIFS(INDEX(NXT!$A:$ZZ, 0, MATCH(TEXT(EDATE(DATEVALUE("1-"&amp;SUBSTITUTE(J$1,".","-")),5),"mmm.yy"), NXT!$1:$1, 0)), NXT!$A:$A, $A10)</f>
        <v>0</v>
      </c>
      <c r="K10">
        <f>SUMIFS(INDEX(NXT!$A:$ZZ, 0, MATCH(TEXT(EDATE(DATEVALUE("1-"&amp;SUBSTITUTE(K$1,".","-")),5),"mmm.yy"), NXT!$1:$1, 0)), NXT!$A:$A, $A10)</f>
        <v>0</v>
      </c>
      <c r="L10">
        <f>SUMIFS(INDEX(NXT!$A:$ZZ, 0, MATCH(TEXT(EDATE(DATEVALUE("1-"&amp;SUBSTITUTE(L$1,".","-")),5),"mmm.yy"), NXT!$1:$1, 0)), NXT!$A:$A, $A10)</f>
        <v>0</v>
      </c>
      <c r="M10">
        <f>SUMIFS(INDEX(NXT!$A:$ZZ, 0, MATCH(TEXT(EDATE(DATEVALUE("1-"&amp;SUBSTITUTE(M$1,".","-")),5),"mmm.yy"), NXT!$1:$1, 0)), NXT!$A:$A, $A10)</f>
        <v>0</v>
      </c>
      <c r="N10">
        <f>SUMIFS(INDEX(NXT!$A:$ZZ, 0, MATCH(TEXT(EDATE(DATEVALUE("1-"&amp;SUBSTITUTE(N$1,".","-")),5),"mmm.yy"), NXT!$1:$1, 0)), NXT!$A:$A, $A10)</f>
        <v>0</v>
      </c>
    </row>
    <row r="11" spans="1:17" x14ac:dyDescent="0.35">
      <c r="A11" t="s">
        <v>10</v>
      </c>
      <c r="B11" s="64">
        <v>3.49</v>
      </c>
      <c r="C11">
        <v>360</v>
      </c>
      <c r="E11">
        <f>SUMIFS(INDEX(NXT!$A:$ZZ, 0, MATCH(TEXT(EDATE(DATEVALUE("1-"&amp;SUBSTITUTE(E$1,".","-")),5),"mmm.yy"), NXT!$1:$1, 0)), NXT!$A:$A, $A11)</f>
        <v>360</v>
      </c>
      <c r="F11">
        <f>SUMIFS(INDEX(NXT!$A:$ZZ, 0, MATCH(TEXT(EDATE(DATEVALUE("1-"&amp;SUBSTITUTE(F$1,".","-")),5),"mmm.yy"), NXT!$1:$1, 0)), NXT!$A:$A, $A11)</f>
        <v>0</v>
      </c>
      <c r="G11">
        <f>SUMIFS(INDEX(NXT!$A:$ZZ, 0, MATCH(TEXT(EDATE(DATEVALUE("1-"&amp;SUBSTITUTE(G$1,".","-")),5),"mmm.yy"), NXT!$1:$1, 0)), NXT!$A:$A, $A11)</f>
        <v>1080</v>
      </c>
      <c r="H11">
        <f>SUMIFS(INDEX(NXT!$A:$ZZ, 0, MATCH(TEXT(EDATE(DATEVALUE("1-"&amp;SUBSTITUTE(H$1,".","-")),5),"mmm.yy"), NXT!$1:$1, 0)), NXT!$A:$A, $A11)</f>
        <v>0</v>
      </c>
      <c r="I11">
        <f>SUMIFS(INDEX(NXT!$A:$ZZ, 0, MATCH(TEXT(EDATE(DATEVALUE("1-"&amp;SUBSTITUTE(I$1,".","-")),5),"mmm.yy"), NXT!$1:$1, 0)), NXT!$A:$A, $A11)</f>
        <v>0</v>
      </c>
      <c r="J11">
        <f>SUMIFS(INDEX(NXT!$A:$ZZ, 0, MATCH(TEXT(EDATE(DATEVALUE("1-"&amp;SUBSTITUTE(J$1,".","-")),5),"mmm.yy"), NXT!$1:$1, 0)), NXT!$A:$A, $A11)</f>
        <v>0</v>
      </c>
      <c r="K11">
        <f>SUMIFS(INDEX(NXT!$A:$ZZ, 0, MATCH(TEXT(EDATE(DATEVALUE("1-"&amp;SUBSTITUTE(K$1,".","-")),5),"mmm.yy"), NXT!$1:$1, 0)), NXT!$A:$A, $A11)</f>
        <v>1080</v>
      </c>
      <c r="L11">
        <f>SUMIFS(INDEX(NXT!$A:$ZZ, 0, MATCH(TEXT(EDATE(DATEVALUE("1-"&amp;SUBSTITUTE(L$1,".","-")),5),"mmm.yy"), NXT!$1:$1, 0)), NXT!$A:$A, $A11)</f>
        <v>0</v>
      </c>
      <c r="M11">
        <f>SUMIFS(INDEX(NXT!$A:$ZZ, 0, MATCH(TEXT(EDATE(DATEVALUE("1-"&amp;SUBSTITUTE(M$1,".","-")),5),"mmm.yy"), NXT!$1:$1, 0)), NXT!$A:$A, $A11)</f>
        <v>360</v>
      </c>
      <c r="N11">
        <f>SUMIFS(INDEX(NXT!$A:$ZZ, 0, MATCH(TEXT(EDATE(DATEVALUE("1-"&amp;SUBSTITUTE(N$1,".","-")),5),"mmm.yy"), NXT!$1:$1, 0)), NXT!$A:$A, $A11)</f>
        <v>0</v>
      </c>
    </row>
    <row r="12" spans="1:17" x14ac:dyDescent="0.35">
      <c r="A12" t="s">
        <v>13</v>
      </c>
      <c r="B12" s="64">
        <v>3.9060000000000001</v>
      </c>
      <c r="C12">
        <v>360</v>
      </c>
      <c r="E12">
        <f>SUMIFS(INDEX(NXT!$A:$ZZ, 0, MATCH(TEXT(EDATE(DATEVALUE("1-"&amp;SUBSTITUTE(E$1,".","-")),5),"mmm.yy"), NXT!$1:$1, 0)), NXT!$A:$A, $A12)</f>
        <v>360</v>
      </c>
      <c r="F12">
        <f>SUMIFS(INDEX(NXT!$A:$ZZ, 0, MATCH(TEXT(EDATE(DATEVALUE("1-"&amp;SUBSTITUTE(F$1,".","-")),5),"mmm.yy"), NXT!$1:$1, 0)), NXT!$A:$A, $A12)</f>
        <v>0</v>
      </c>
      <c r="G12">
        <f>SUMIFS(INDEX(NXT!$A:$ZZ, 0, MATCH(TEXT(EDATE(DATEVALUE("1-"&amp;SUBSTITUTE(G$1,".","-")),5),"mmm.yy"), NXT!$1:$1, 0)), NXT!$A:$A, $A12)</f>
        <v>0</v>
      </c>
      <c r="H12">
        <f>SUMIFS(INDEX(NXT!$A:$ZZ, 0, MATCH(TEXT(EDATE(DATEVALUE("1-"&amp;SUBSTITUTE(H$1,".","-")),5),"mmm.yy"), NXT!$1:$1, 0)), NXT!$A:$A, $A12)</f>
        <v>0</v>
      </c>
      <c r="I12">
        <f>SUMIFS(INDEX(NXT!$A:$ZZ, 0, MATCH(TEXT(EDATE(DATEVALUE("1-"&amp;SUBSTITUTE(I$1,".","-")),5),"mmm.yy"), NXT!$1:$1, 0)), NXT!$A:$A, $A12)</f>
        <v>720</v>
      </c>
      <c r="J12">
        <f>SUMIFS(INDEX(NXT!$A:$ZZ, 0, MATCH(TEXT(EDATE(DATEVALUE("1-"&amp;SUBSTITUTE(J$1,".","-")),5),"mmm.yy"), NXT!$1:$1, 0)), NXT!$A:$A, $A12)</f>
        <v>0</v>
      </c>
      <c r="K12">
        <f>SUMIFS(INDEX(NXT!$A:$ZZ, 0, MATCH(TEXT(EDATE(DATEVALUE("1-"&amp;SUBSTITUTE(K$1,".","-")),5),"mmm.yy"), NXT!$1:$1, 0)), NXT!$A:$A, $A12)</f>
        <v>0</v>
      </c>
      <c r="L12">
        <f>SUMIFS(INDEX(NXT!$A:$ZZ, 0, MATCH(TEXT(EDATE(DATEVALUE("1-"&amp;SUBSTITUTE(L$1,".","-")),5),"mmm.yy"), NXT!$1:$1, 0)), NXT!$A:$A, $A12)</f>
        <v>0</v>
      </c>
      <c r="M12">
        <f>SUMIFS(INDEX(NXT!$A:$ZZ, 0, MATCH(TEXT(EDATE(DATEVALUE("1-"&amp;SUBSTITUTE(M$1,".","-")),5),"mmm.yy"), NXT!$1:$1, 0)), NXT!$A:$A, $A12)</f>
        <v>720</v>
      </c>
      <c r="N12">
        <f>SUMIFS(INDEX(NXT!$A:$ZZ, 0, MATCH(TEXT(EDATE(DATEVALUE("1-"&amp;SUBSTITUTE(N$1,".","-")),5),"mmm.yy"), NXT!$1:$1, 0)), NXT!$A:$A, $A12)</f>
        <v>0</v>
      </c>
    </row>
    <row r="13" spans="1:17" x14ac:dyDescent="0.35">
      <c r="A13" t="s">
        <v>12</v>
      </c>
      <c r="B13" s="64">
        <v>4.2699999999999996</v>
      </c>
      <c r="C13">
        <v>252</v>
      </c>
      <c r="E13">
        <f>SUMIFS(INDEX(NXT!$A:$ZZ, 0, MATCH(TEXT(EDATE(DATEVALUE("1-"&amp;SUBSTITUTE(E$1,".","-")),5),"mmm.yy"), NXT!$1:$1, 0)), NXT!$A:$A, $A13)</f>
        <v>252</v>
      </c>
      <c r="F13">
        <f>SUMIFS(INDEX(NXT!$A:$ZZ, 0, MATCH(TEXT(EDATE(DATEVALUE("1-"&amp;SUBSTITUTE(F$1,".","-")),5),"mmm.yy"), NXT!$1:$1, 0)), NXT!$A:$A, $A13)</f>
        <v>0</v>
      </c>
      <c r="G13">
        <f>SUMIFS(INDEX(NXT!$A:$ZZ, 0, MATCH(TEXT(EDATE(DATEVALUE("1-"&amp;SUBSTITUTE(G$1,".","-")),5),"mmm.yy"), NXT!$1:$1, 0)), NXT!$A:$A, $A13)</f>
        <v>0</v>
      </c>
      <c r="H13">
        <f>SUMIFS(INDEX(NXT!$A:$ZZ, 0, MATCH(TEXT(EDATE(DATEVALUE("1-"&amp;SUBSTITUTE(H$1,".","-")),5),"mmm.yy"), NXT!$1:$1, 0)), NXT!$A:$A, $A13)</f>
        <v>0</v>
      </c>
      <c r="I13">
        <f>SUMIFS(INDEX(NXT!$A:$ZZ, 0, MATCH(TEXT(EDATE(DATEVALUE("1-"&amp;SUBSTITUTE(I$1,".","-")),5),"mmm.yy"), NXT!$1:$1, 0)), NXT!$A:$A, $A13)</f>
        <v>504</v>
      </c>
      <c r="J13">
        <f>SUMIFS(INDEX(NXT!$A:$ZZ, 0, MATCH(TEXT(EDATE(DATEVALUE("1-"&amp;SUBSTITUTE(J$1,".","-")),5),"mmm.yy"), NXT!$1:$1, 0)), NXT!$A:$A, $A13)</f>
        <v>0</v>
      </c>
      <c r="K13">
        <f>SUMIFS(INDEX(NXT!$A:$ZZ, 0, MATCH(TEXT(EDATE(DATEVALUE("1-"&amp;SUBSTITUTE(K$1,".","-")),5),"mmm.yy"), NXT!$1:$1, 0)), NXT!$A:$A, $A13)</f>
        <v>1008</v>
      </c>
      <c r="L13">
        <f>SUMIFS(INDEX(NXT!$A:$ZZ, 0, MATCH(TEXT(EDATE(DATEVALUE("1-"&amp;SUBSTITUTE(L$1,".","-")),5),"mmm.yy"), NXT!$1:$1, 0)), NXT!$A:$A, $A13)</f>
        <v>0</v>
      </c>
      <c r="M13">
        <f>SUMIFS(INDEX(NXT!$A:$ZZ, 0, MATCH(TEXT(EDATE(DATEVALUE("1-"&amp;SUBSTITUTE(M$1,".","-")),5),"mmm.yy"), NXT!$1:$1, 0)), NXT!$A:$A, $A13)</f>
        <v>0</v>
      </c>
      <c r="N13">
        <f>SUMIFS(INDEX(NXT!$A:$ZZ, 0, MATCH(TEXT(EDATE(DATEVALUE("1-"&amp;SUBSTITUTE(N$1,".","-")),5),"mmm.yy"), NXT!$1:$1, 0)), NXT!$A:$A, $A13)</f>
        <v>0</v>
      </c>
    </row>
    <row r="14" spans="1:17" x14ac:dyDescent="0.35">
      <c r="A14" t="s">
        <v>9</v>
      </c>
      <c r="B14" s="64">
        <v>19.2</v>
      </c>
      <c r="C14">
        <v>96</v>
      </c>
      <c r="E14">
        <f>SUMIFS(INDEX(NXT!$A:$ZZ, 0, MATCH(TEXT(EDATE(DATEVALUE("1-"&amp;SUBSTITUTE(E$1,".","-")),5),"mmm.yy"), NXT!$1:$1, 0)), NXT!$A:$A, $A14)</f>
        <v>0</v>
      </c>
      <c r="F14">
        <f>SUMIFS(INDEX(NXT!$A:$ZZ, 0, MATCH(TEXT(EDATE(DATEVALUE("1-"&amp;SUBSTITUTE(F$1,".","-")),5),"mmm.yy"), NXT!$1:$1, 0)), NXT!$A:$A, $A14)</f>
        <v>0</v>
      </c>
      <c r="G14">
        <f>SUMIFS(INDEX(NXT!$A:$ZZ, 0, MATCH(TEXT(EDATE(DATEVALUE("1-"&amp;SUBSTITUTE(G$1,".","-")),5),"mmm.yy"), NXT!$1:$1, 0)), NXT!$A:$A, $A14)</f>
        <v>288</v>
      </c>
      <c r="H14">
        <f>SUMIFS(INDEX(NXT!$A:$ZZ, 0, MATCH(TEXT(EDATE(DATEVALUE("1-"&amp;SUBSTITUTE(H$1,".","-")),5),"mmm.yy"), NXT!$1:$1, 0)), NXT!$A:$A, $A14)</f>
        <v>0</v>
      </c>
      <c r="I14">
        <f>SUMIFS(INDEX(NXT!$A:$ZZ, 0, MATCH(TEXT(EDATE(DATEVALUE("1-"&amp;SUBSTITUTE(I$1,".","-")),5),"mmm.yy"), NXT!$1:$1, 0)), NXT!$A:$A, $A14)</f>
        <v>0</v>
      </c>
      <c r="J14">
        <f>SUMIFS(INDEX(NXT!$A:$ZZ, 0, MATCH(TEXT(EDATE(DATEVALUE("1-"&amp;SUBSTITUTE(J$1,".","-")),5),"mmm.yy"), NXT!$1:$1, 0)), NXT!$A:$A, $A14)</f>
        <v>0</v>
      </c>
      <c r="K14">
        <f>SUMIFS(INDEX(NXT!$A:$ZZ, 0, MATCH(TEXT(EDATE(DATEVALUE("1-"&amp;SUBSTITUTE(K$1,".","-")),5),"mmm.yy"), NXT!$1:$1, 0)), NXT!$A:$A, $A14)</f>
        <v>384</v>
      </c>
      <c r="L14">
        <f>SUMIFS(INDEX(NXT!$A:$ZZ, 0, MATCH(TEXT(EDATE(DATEVALUE("1-"&amp;SUBSTITUTE(L$1,".","-")),5),"mmm.yy"), NXT!$1:$1, 0)), NXT!$A:$A, $A14)</f>
        <v>0</v>
      </c>
      <c r="M14">
        <f>SUMIFS(INDEX(NXT!$A:$ZZ, 0, MATCH(TEXT(EDATE(DATEVALUE("1-"&amp;SUBSTITUTE(M$1,".","-")),5),"mmm.yy"), NXT!$1:$1, 0)), NXT!$A:$A, $A14)</f>
        <v>288</v>
      </c>
      <c r="N14">
        <f>SUMIFS(INDEX(NXT!$A:$ZZ, 0, MATCH(TEXT(EDATE(DATEVALUE("1-"&amp;SUBSTITUTE(N$1,".","-")),5),"mmm.yy"), NXT!$1:$1, 0)), NXT!$A:$A, $A14)</f>
        <v>0</v>
      </c>
    </row>
    <row r="15" spans="1:17" x14ac:dyDescent="0.35">
      <c r="A15" t="s">
        <v>399</v>
      </c>
      <c r="B15" s="64">
        <v>18.260000000000002</v>
      </c>
      <c r="C15">
        <v>72</v>
      </c>
      <c r="E15">
        <f>SUMIFS(INDEX(NXT!$A:$ZZ, 0, MATCH(TEXT(EDATE(DATEVALUE("1-"&amp;SUBSTITUTE(E$1,".","-")),5),"mmm.yy"), NXT!$1:$1, 0)), NXT!$A:$A, $A15)</f>
        <v>0</v>
      </c>
      <c r="F15">
        <f>SUMIFS(INDEX(NXT!$A:$ZZ, 0, MATCH(TEXT(EDATE(DATEVALUE("1-"&amp;SUBSTITUTE(F$1,".","-")),5),"mmm.yy"), NXT!$1:$1, 0)), NXT!$A:$A, $A15)</f>
        <v>0</v>
      </c>
      <c r="G15">
        <f>SUMIFS(INDEX(NXT!$A:$ZZ, 0, MATCH(TEXT(EDATE(DATEVALUE("1-"&amp;SUBSTITUTE(G$1,".","-")),5),"mmm.yy"), NXT!$1:$1, 0)), NXT!$A:$A, $A15)</f>
        <v>0</v>
      </c>
      <c r="H15">
        <f>SUMIFS(INDEX(NXT!$A:$ZZ, 0, MATCH(TEXT(EDATE(DATEVALUE("1-"&amp;SUBSTITUTE(H$1,".","-")),5),"mmm.yy"), NXT!$1:$1, 0)), NXT!$A:$A, $A15)</f>
        <v>0</v>
      </c>
      <c r="I15">
        <f>SUMIFS(INDEX(NXT!$A:$ZZ, 0, MATCH(TEXT(EDATE(DATEVALUE("1-"&amp;SUBSTITUTE(I$1,".","-")),5),"mmm.yy"), NXT!$1:$1, 0)), NXT!$A:$A, $A15)</f>
        <v>0</v>
      </c>
      <c r="J15">
        <f>SUMIFS(INDEX(NXT!$A:$ZZ, 0, MATCH(TEXT(EDATE(DATEVALUE("1-"&amp;SUBSTITUTE(J$1,".","-")),5),"mmm.yy"), NXT!$1:$1, 0)), NXT!$A:$A, $A15)</f>
        <v>0</v>
      </c>
      <c r="K15">
        <f>SUMIFS(INDEX(NXT!$A:$ZZ, 0, MATCH(TEXT(EDATE(DATEVALUE("1-"&amp;SUBSTITUTE(K$1,".","-")),5),"mmm.yy"), NXT!$1:$1, 0)), NXT!$A:$A, $A15)</f>
        <v>0</v>
      </c>
      <c r="L15">
        <f>SUMIFS(INDEX(NXT!$A:$ZZ, 0, MATCH(TEXT(EDATE(DATEVALUE("1-"&amp;SUBSTITUTE(L$1,".","-")),5),"mmm.yy"), NXT!$1:$1, 0)), NXT!$A:$A, $A15)</f>
        <v>0</v>
      </c>
      <c r="M15">
        <f>SUMIFS(INDEX(NXT!$A:$ZZ, 0, MATCH(TEXT(EDATE(DATEVALUE("1-"&amp;SUBSTITUTE(M$1,".","-")),5),"mmm.yy"), NXT!$1:$1, 0)), NXT!$A:$A, $A15)</f>
        <v>0</v>
      </c>
      <c r="N15">
        <f>SUMIFS(INDEX(NXT!$A:$ZZ, 0, MATCH(TEXT(EDATE(DATEVALUE("1-"&amp;SUBSTITUTE(N$1,".","-")),5),"mmm.yy"), NXT!$1:$1, 0)), NXT!$A:$A, $A15)</f>
        <v>0</v>
      </c>
    </row>
    <row r="16" spans="1:17" x14ac:dyDescent="0.35">
      <c r="A16" t="s">
        <v>6</v>
      </c>
      <c r="B16" s="64">
        <v>5.87</v>
      </c>
      <c r="C16">
        <v>252</v>
      </c>
      <c r="E16">
        <f>SUMIFS(INDEX(NXT!$A:$ZZ, 0, MATCH(TEXT(EDATE(DATEVALUE("1-"&amp;SUBSTITUTE(E$1,".","-")),5),"mmm.yy"), NXT!$1:$1, 0)), NXT!$A:$A, $A16)</f>
        <v>252</v>
      </c>
      <c r="F16">
        <f>SUMIFS(INDEX(NXT!$A:$ZZ, 0, MATCH(TEXT(EDATE(DATEVALUE("1-"&amp;SUBSTITUTE(F$1,".","-")),5),"mmm.yy"), NXT!$1:$1, 0)), NXT!$A:$A, $A16)</f>
        <v>0</v>
      </c>
      <c r="G16">
        <f>SUMIFS(INDEX(NXT!$A:$ZZ, 0, MATCH(TEXT(EDATE(DATEVALUE("1-"&amp;SUBSTITUTE(G$1,".","-")),5),"mmm.yy"), NXT!$1:$1, 0)), NXT!$A:$A, $A16)</f>
        <v>756</v>
      </c>
      <c r="H16">
        <f>SUMIFS(INDEX(NXT!$A:$ZZ, 0, MATCH(TEXT(EDATE(DATEVALUE("1-"&amp;SUBSTITUTE(H$1,".","-")),5),"mmm.yy"), NXT!$1:$1, 0)), NXT!$A:$A, $A16)</f>
        <v>0</v>
      </c>
      <c r="I16">
        <f>SUMIFS(INDEX(NXT!$A:$ZZ, 0, MATCH(TEXT(EDATE(DATEVALUE("1-"&amp;SUBSTITUTE(I$1,".","-")),5),"mmm.yy"), NXT!$1:$1, 0)), NXT!$A:$A, $A16)</f>
        <v>756</v>
      </c>
      <c r="J16">
        <f>SUMIFS(INDEX(NXT!$A:$ZZ, 0, MATCH(TEXT(EDATE(DATEVALUE("1-"&amp;SUBSTITUTE(J$1,".","-")),5),"mmm.yy"), NXT!$1:$1, 0)), NXT!$A:$A, $A16)</f>
        <v>0</v>
      </c>
      <c r="K16">
        <f>SUMIFS(INDEX(NXT!$A:$ZZ, 0, MATCH(TEXT(EDATE(DATEVALUE("1-"&amp;SUBSTITUTE(K$1,".","-")),5),"mmm.yy"), NXT!$1:$1, 0)), NXT!$A:$A, $A16)</f>
        <v>1008</v>
      </c>
      <c r="L16">
        <f>SUMIFS(INDEX(NXT!$A:$ZZ, 0, MATCH(TEXT(EDATE(DATEVALUE("1-"&amp;SUBSTITUTE(L$1,".","-")),5),"mmm.yy"), NXT!$1:$1, 0)), NXT!$A:$A, $A16)</f>
        <v>0</v>
      </c>
      <c r="M16">
        <f>SUMIFS(INDEX(NXT!$A:$ZZ, 0, MATCH(TEXT(EDATE(DATEVALUE("1-"&amp;SUBSTITUTE(M$1,".","-")),5),"mmm.yy"), NXT!$1:$1, 0)), NXT!$A:$A, $A16)</f>
        <v>756</v>
      </c>
      <c r="N16">
        <f>SUMIFS(INDEX(NXT!$A:$ZZ, 0, MATCH(TEXT(EDATE(DATEVALUE("1-"&amp;SUBSTITUTE(N$1,".","-")),5),"mmm.yy"), NXT!$1:$1, 0)), NXT!$A:$A, $A16)</f>
        <v>0</v>
      </c>
    </row>
    <row r="17" spans="1:20" x14ac:dyDescent="0.35">
      <c r="A17" t="s">
        <v>7</v>
      </c>
      <c r="B17" s="64">
        <v>25.93</v>
      </c>
      <c r="C17">
        <v>96</v>
      </c>
      <c r="E17">
        <f>SUMIFS(INDEX(NXT!$A:$ZZ, 0, MATCH(TEXT(EDATE(DATEVALUE("1-"&amp;SUBSTITUTE(E$1,".","-")),5),"mmm.yy"), NXT!$1:$1, 0)), NXT!$A:$A, $A17)</f>
        <v>96</v>
      </c>
      <c r="F17">
        <f>SUMIFS(INDEX(NXT!$A:$ZZ, 0, MATCH(TEXT(EDATE(DATEVALUE("1-"&amp;SUBSTITUTE(F$1,".","-")),5),"mmm.yy"), NXT!$1:$1, 0)), NXT!$A:$A, $A17)</f>
        <v>0</v>
      </c>
      <c r="G17">
        <f>SUMIFS(INDEX(NXT!$A:$ZZ, 0, MATCH(TEXT(EDATE(DATEVALUE("1-"&amp;SUBSTITUTE(G$1,".","-")),5),"mmm.yy"), NXT!$1:$1, 0)), NXT!$A:$A, $A17)</f>
        <v>288</v>
      </c>
      <c r="H17">
        <f>SUMIFS(INDEX(NXT!$A:$ZZ, 0, MATCH(TEXT(EDATE(DATEVALUE("1-"&amp;SUBSTITUTE(H$1,".","-")),5),"mmm.yy"), NXT!$1:$1, 0)), NXT!$A:$A, $A17)</f>
        <v>0</v>
      </c>
      <c r="I17">
        <f>SUMIFS(INDEX(NXT!$A:$ZZ, 0, MATCH(TEXT(EDATE(DATEVALUE("1-"&amp;SUBSTITUTE(I$1,".","-")),5),"mmm.yy"), NXT!$1:$1, 0)), NXT!$A:$A, $A17)</f>
        <v>288</v>
      </c>
      <c r="J17">
        <f>SUMIFS(INDEX(NXT!$A:$ZZ, 0, MATCH(TEXT(EDATE(DATEVALUE("1-"&amp;SUBSTITUTE(J$1,".","-")),5),"mmm.yy"), NXT!$1:$1, 0)), NXT!$A:$A, $A17)</f>
        <v>0</v>
      </c>
      <c r="K17">
        <f>SUMIFS(INDEX(NXT!$A:$ZZ, 0, MATCH(TEXT(EDATE(DATEVALUE("1-"&amp;SUBSTITUTE(K$1,".","-")),5),"mmm.yy"), NXT!$1:$1, 0)), NXT!$A:$A, $A17)</f>
        <v>480</v>
      </c>
      <c r="L17">
        <f>SUMIFS(INDEX(NXT!$A:$ZZ, 0, MATCH(TEXT(EDATE(DATEVALUE("1-"&amp;SUBSTITUTE(L$1,".","-")),5),"mmm.yy"), NXT!$1:$1, 0)), NXT!$A:$A, $A17)</f>
        <v>0</v>
      </c>
      <c r="M17">
        <f>SUMIFS(INDEX(NXT!$A:$ZZ, 0, MATCH(TEXT(EDATE(DATEVALUE("1-"&amp;SUBSTITUTE(M$1,".","-")),5),"mmm.yy"), NXT!$1:$1, 0)), NXT!$A:$A, $A17)</f>
        <v>384</v>
      </c>
      <c r="N17">
        <f>SUMIFS(INDEX(NXT!$A:$ZZ, 0, MATCH(TEXT(EDATE(DATEVALUE("1-"&amp;SUBSTITUTE(N$1,".","-")),5),"mmm.yy"), NXT!$1:$1, 0)), NXT!$A:$A, $A17)</f>
        <v>0</v>
      </c>
    </row>
    <row r="18" spans="1:20" x14ac:dyDescent="0.35">
      <c r="A18" t="s">
        <v>5</v>
      </c>
      <c r="B18" s="64">
        <v>7.65</v>
      </c>
      <c r="C18">
        <v>252</v>
      </c>
      <c r="E18">
        <f>SUMIFS(INDEX(NXT!$A:$ZZ, 0, MATCH(TEXT(EDATE(DATEVALUE("1-"&amp;SUBSTITUTE(E$1,".","-")),5),"mmm.yy"), NXT!$1:$1, 0)), NXT!$A:$A, $A18)</f>
        <v>0</v>
      </c>
      <c r="F18">
        <f>SUMIFS(INDEX(NXT!$A:$ZZ, 0, MATCH(TEXT(EDATE(DATEVALUE("1-"&amp;SUBSTITUTE(F$1,".","-")),5),"mmm.yy"), NXT!$1:$1, 0)), NXT!$A:$A, $A18)</f>
        <v>756</v>
      </c>
      <c r="G18">
        <f>SUMIFS(INDEX(NXT!$A:$ZZ, 0, MATCH(TEXT(EDATE(DATEVALUE("1-"&amp;SUBSTITUTE(G$1,".","-")),5),"mmm.yy"), NXT!$1:$1, 0)), NXT!$A:$A, $A18)</f>
        <v>756</v>
      </c>
      <c r="H18">
        <f>SUMIFS(INDEX(NXT!$A:$ZZ, 0, MATCH(TEXT(EDATE(DATEVALUE("1-"&amp;SUBSTITUTE(H$1,".","-")),5),"mmm.yy"), NXT!$1:$1, 0)), NXT!$A:$A, $A18)</f>
        <v>0</v>
      </c>
      <c r="I18">
        <f>SUMIFS(INDEX(NXT!$A:$ZZ, 0, MATCH(TEXT(EDATE(DATEVALUE("1-"&amp;SUBSTITUTE(I$1,".","-")),5),"mmm.yy"), NXT!$1:$1, 0)), NXT!$A:$A, $A18)</f>
        <v>1008</v>
      </c>
      <c r="J18">
        <f>SUMIFS(INDEX(NXT!$A:$ZZ, 0, MATCH(TEXT(EDATE(DATEVALUE("1-"&amp;SUBSTITUTE(J$1,".","-")),5),"mmm.yy"), NXT!$1:$1, 0)), NXT!$A:$A, $A18)</f>
        <v>0</v>
      </c>
      <c r="K18">
        <f>SUMIFS(INDEX(NXT!$A:$ZZ, 0, MATCH(TEXT(EDATE(DATEVALUE("1-"&amp;SUBSTITUTE(K$1,".","-")),5),"mmm.yy"), NXT!$1:$1, 0)), NXT!$A:$A, $A18)</f>
        <v>1008</v>
      </c>
      <c r="L18">
        <f>SUMIFS(INDEX(NXT!$A:$ZZ, 0, MATCH(TEXT(EDATE(DATEVALUE("1-"&amp;SUBSTITUTE(L$1,".","-")),5),"mmm.yy"), NXT!$1:$1, 0)), NXT!$A:$A, $A18)</f>
        <v>0</v>
      </c>
      <c r="M18">
        <f>SUMIFS(INDEX(NXT!$A:$ZZ, 0, MATCH(TEXT(EDATE(DATEVALUE("1-"&amp;SUBSTITUTE(M$1,".","-")),5),"mmm.yy"), NXT!$1:$1, 0)), NXT!$A:$A, $A18)</f>
        <v>756</v>
      </c>
      <c r="N18">
        <f>SUMIFS(INDEX(NXT!$A:$ZZ, 0, MATCH(TEXT(EDATE(DATEVALUE("1-"&amp;SUBSTITUTE(N$1,".","-")),5),"mmm.yy"), NXT!$1:$1, 0)), NXT!$A:$A, $A18)</f>
        <v>0</v>
      </c>
    </row>
    <row r="19" spans="1:20" x14ac:dyDescent="0.35">
      <c r="A19" t="s">
        <v>14</v>
      </c>
      <c r="B19" s="64">
        <v>35.883000000000003</v>
      </c>
      <c r="C19">
        <v>96</v>
      </c>
      <c r="E19">
        <f>SUMIFS(INDEX(NXT!$A:$ZZ, 0, MATCH(TEXT(EDATE(DATEVALUE("1-"&amp;SUBSTITUTE(E$1,".","-")),5),"mmm.yy"), NXT!$1:$1, 0)), NXT!$A:$A, $A19)</f>
        <v>0</v>
      </c>
      <c r="F19">
        <f>SUMIFS(INDEX(NXT!$A:$ZZ, 0, MATCH(TEXT(EDATE(DATEVALUE("1-"&amp;SUBSTITUTE(F$1,".","-")),5),"mmm.yy"), NXT!$1:$1, 0)), NXT!$A:$A, $A19)</f>
        <v>0</v>
      </c>
      <c r="G19">
        <f>SUMIFS(INDEX(NXT!$A:$ZZ, 0, MATCH(TEXT(EDATE(DATEVALUE("1-"&amp;SUBSTITUTE(G$1,".","-")),5),"mmm.yy"), NXT!$1:$1, 0)), NXT!$A:$A, $A19)</f>
        <v>0</v>
      </c>
      <c r="H19">
        <f>SUMIFS(INDEX(NXT!$A:$ZZ, 0, MATCH(TEXT(EDATE(DATEVALUE("1-"&amp;SUBSTITUTE(H$1,".","-")),5),"mmm.yy"), NXT!$1:$1, 0)), NXT!$A:$A, $A19)</f>
        <v>0</v>
      </c>
      <c r="I19">
        <f>SUMIFS(INDEX(NXT!$A:$ZZ, 0, MATCH(TEXT(EDATE(DATEVALUE("1-"&amp;SUBSTITUTE(I$1,".","-")),5),"mmm.yy"), NXT!$1:$1, 0)), NXT!$A:$A, $A19)</f>
        <v>0</v>
      </c>
      <c r="J19">
        <f>SUMIFS(INDEX(NXT!$A:$ZZ, 0, MATCH(TEXT(EDATE(DATEVALUE("1-"&amp;SUBSTITUTE(J$1,".","-")),5),"mmm.yy"), NXT!$1:$1, 0)), NXT!$A:$A, $A19)</f>
        <v>0</v>
      </c>
      <c r="K19">
        <f>SUMIFS(INDEX(NXT!$A:$ZZ, 0, MATCH(TEXT(EDATE(DATEVALUE("1-"&amp;SUBSTITUTE(K$1,".","-")),5),"mmm.yy"), NXT!$1:$1, 0)), NXT!$A:$A, $A19)</f>
        <v>0</v>
      </c>
      <c r="L19">
        <f>SUMIFS(INDEX(NXT!$A:$ZZ, 0, MATCH(TEXT(EDATE(DATEVALUE("1-"&amp;SUBSTITUTE(L$1,".","-")),5),"mmm.yy"), NXT!$1:$1, 0)), NXT!$A:$A, $A19)</f>
        <v>0</v>
      </c>
      <c r="M19">
        <f>SUMIFS(INDEX(NXT!$A:$ZZ, 0, MATCH(TEXT(EDATE(DATEVALUE("1-"&amp;SUBSTITUTE(M$1,".","-")),5),"mmm.yy"), NXT!$1:$1, 0)), NXT!$A:$A, $A19)</f>
        <v>0</v>
      </c>
      <c r="N19">
        <f>SUMIFS(INDEX(NXT!$A:$ZZ, 0, MATCH(TEXT(EDATE(DATEVALUE("1-"&amp;SUBSTITUTE(N$1,".","-")),5),"mmm.yy"), NXT!$1:$1, 0)), NXT!$A:$A, $A19)</f>
        <v>0</v>
      </c>
    </row>
    <row r="20" spans="1:20" x14ac:dyDescent="0.35">
      <c r="A20" t="s">
        <v>4</v>
      </c>
      <c r="B20" s="64">
        <v>15.21</v>
      </c>
      <c r="C20">
        <v>96</v>
      </c>
      <c r="E20">
        <f>SUMIFS(INDEX(NXT!$A:$ZZ, 0, MATCH(TEXT(EDATE(DATEVALUE("1-"&amp;SUBSTITUTE(E$1,".","-")),5),"mmm.yy"), NXT!$1:$1, 0)), NXT!$A:$A, $A20)</f>
        <v>1632</v>
      </c>
      <c r="F20">
        <f>SUMIFS(INDEX(NXT!$A:$ZZ, 0, MATCH(TEXT(EDATE(DATEVALUE("1-"&amp;SUBSTITUTE(F$1,".","-")),5),"mmm.yy"), NXT!$1:$1, 0)), NXT!$A:$A, $A20)</f>
        <v>1536</v>
      </c>
      <c r="G20">
        <f>SUMIFS(INDEX(NXT!$A:$ZZ, 0, MATCH(TEXT(EDATE(DATEVALUE("1-"&amp;SUBSTITUTE(G$1,".","-")),5),"mmm.yy"), NXT!$1:$1, 0)), NXT!$A:$A, $A20)</f>
        <v>96</v>
      </c>
      <c r="H20">
        <f>SUMIFS(INDEX(NXT!$A:$ZZ, 0, MATCH(TEXT(EDATE(DATEVALUE("1-"&amp;SUBSTITUTE(H$1,".","-")),5),"mmm.yy"), NXT!$1:$1, 0)), NXT!$A:$A, $A20)</f>
        <v>2112</v>
      </c>
      <c r="I20">
        <f>SUMIFS(INDEX(NXT!$A:$ZZ, 0, MATCH(TEXT(EDATE(DATEVALUE("1-"&amp;SUBSTITUTE(I$1,".","-")),5),"mmm.yy"), NXT!$1:$1, 0)), NXT!$A:$A, $A20)</f>
        <v>0</v>
      </c>
      <c r="J20">
        <f>SUMIFS(INDEX(NXT!$A:$ZZ, 0, MATCH(TEXT(EDATE(DATEVALUE("1-"&amp;SUBSTITUTE(J$1,".","-")),5),"mmm.yy"), NXT!$1:$1, 0)), NXT!$A:$A, $A20)</f>
        <v>2112</v>
      </c>
      <c r="K20">
        <f>SUMIFS(INDEX(NXT!$A:$ZZ, 0, MATCH(TEXT(EDATE(DATEVALUE("1-"&amp;SUBSTITUTE(K$1,".","-")),5),"mmm.yy"), NXT!$1:$1, 0)), NXT!$A:$A, $A20)</f>
        <v>0</v>
      </c>
      <c r="L20">
        <f>SUMIFS(INDEX(NXT!$A:$ZZ, 0, MATCH(TEXT(EDATE(DATEVALUE("1-"&amp;SUBSTITUTE(L$1,".","-")),5),"mmm.yy"), NXT!$1:$1, 0)), NXT!$A:$A, $A20)</f>
        <v>2112</v>
      </c>
      <c r="M20">
        <f>SUMIFS(INDEX(NXT!$A:$ZZ, 0, MATCH(TEXT(EDATE(DATEVALUE("1-"&amp;SUBSTITUTE(M$1,".","-")),5),"mmm.yy"), NXT!$1:$1, 0)), NXT!$A:$A, $A20)</f>
        <v>2112</v>
      </c>
      <c r="N20">
        <f>SUMIFS(INDEX(NXT!$A:$ZZ, 0, MATCH(TEXT(EDATE(DATEVALUE("1-"&amp;SUBSTITUTE(N$1,".","-")),5),"mmm.yy"), NXT!$1:$1, 0)), NXT!$A:$A, $A20)</f>
        <v>0</v>
      </c>
    </row>
    <row r="21" spans="1:20" x14ac:dyDescent="0.35">
      <c r="A21" t="s">
        <v>11</v>
      </c>
      <c r="B21" s="64">
        <v>5.97</v>
      </c>
      <c r="C21">
        <v>96</v>
      </c>
      <c r="E21">
        <f>SUMIFS(INDEX(NXT!$A:$ZZ, 0, MATCH(TEXT(EDATE(DATEVALUE("1-"&amp;SUBSTITUTE(E$1,".","-")),5),"mmm.yy"), NXT!$1:$1, 0)), NXT!$A:$A, $A21)</f>
        <v>0</v>
      </c>
      <c r="F21">
        <f>SUMIFS(INDEX(NXT!$A:$ZZ, 0, MATCH(TEXT(EDATE(DATEVALUE("1-"&amp;SUBSTITUTE(F$1,".","-")),5),"mmm.yy"), NXT!$1:$1, 0)), NXT!$A:$A, $A21)</f>
        <v>0</v>
      </c>
      <c r="G21">
        <f>SUMIFS(INDEX(NXT!$A:$ZZ, 0, MATCH(TEXT(EDATE(DATEVALUE("1-"&amp;SUBSTITUTE(G$1,".","-")),5),"mmm.yy"), NXT!$1:$1, 0)), NXT!$A:$A, $A21)</f>
        <v>480</v>
      </c>
      <c r="H21">
        <f>SUMIFS(INDEX(NXT!$A:$ZZ, 0, MATCH(TEXT(EDATE(DATEVALUE("1-"&amp;SUBSTITUTE(H$1,".","-")),5),"mmm.yy"), NXT!$1:$1, 0)), NXT!$A:$A, $A21)</f>
        <v>0</v>
      </c>
      <c r="I21">
        <f>SUMIFS(INDEX(NXT!$A:$ZZ, 0, MATCH(TEXT(EDATE(DATEVALUE("1-"&amp;SUBSTITUTE(I$1,".","-")),5),"mmm.yy"), NXT!$1:$1, 0)), NXT!$A:$A, $A21)</f>
        <v>480</v>
      </c>
      <c r="J21">
        <f>SUMIFS(INDEX(NXT!$A:$ZZ, 0, MATCH(TEXT(EDATE(DATEVALUE("1-"&amp;SUBSTITUTE(J$1,".","-")),5),"mmm.yy"), NXT!$1:$1, 0)), NXT!$A:$A, $A21)</f>
        <v>0</v>
      </c>
      <c r="K21">
        <f>SUMIFS(INDEX(NXT!$A:$ZZ, 0, MATCH(TEXT(EDATE(DATEVALUE("1-"&amp;SUBSTITUTE(K$1,".","-")),5),"mmm.yy"), NXT!$1:$1, 0)), NXT!$A:$A, $A21)</f>
        <v>1440</v>
      </c>
      <c r="L21">
        <f>SUMIFS(INDEX(NXT!$A:$ZZ, 0, MATCH(TEXT(EDATE(DATEVALUE("1-"&amp;SUBSTITUTE(L$1,".","-")),5),"mmm.yy"), NXT!$1:$1, 0)), NXT!$A:$A, $A21)</f>
        <v>0</v>
      </c>
      <c r="M21">
        <f>SUMIFS(INDEX(NXT!$A:$ZZ, 0, MATCH(TEXT(EDATE(DATEVALUE("1-"&amp;SUBSTITUTE(M$1,".","-")),5),"mmm.yy"), NXT!$1:$1, 0)), NXT!$A:$A, $A21)</f>
        <v>288</v>
      </c>
      <c r="N21">
        <f>SUMIFS(INDEX(NXT!$A:$ZZ, 0, MATCH(TEXT(EDATE(DATEVALUE("1-"&amp;SUBSTITUTE(N$1,".","-")),5),"mmm.yy"), NXT!$1:$1, 0)), NXT!$A:$A, $A21)</f>
        <v>0</v>
      </c>
      <c r="R21" s="52" t="s">
        <v>409</v>
      </c>
      <c r="S21" s="52" t="s">
        <v>410</v>
      </c>
      <c r="T21" s="52" t="s">
        <v>411</v>
      </c>
    </row>
    <row r="22" spans="1:20" x14ac:dyDescent="0.35">
      <c r="A22" s="65" t="s">
        <v>412</v>
      </c>
      <c r="B22" s="66"/>
      <c r="C22" s="65"/>
      <c r="D22" s="67">
        <f>SUMPRODUCT($B$2:$B$21,Table3[Feb.26])</f>
        <v>0</v>
      </c>
      <c r="E22" s="67">
        <f>SUMPRODUCT($B$2:$B$21,Table3[Mar.26])</f>
        <v>32529.84</v>
      </c>
      <c r="F22" s="68">
        <f>SUMPRODUCT($B$2:$B$21,Table3[Apr.26])</f>
        <v>32520.744000000002</v>
      </c>
      <c r="G22" s="68">
        <f>SUMPRODUCT($B$2:$B$21,Table3[May.26])</f>
        <v>32438.448</v>
      </c>
      <c r="H22" s="68">
        <f>SUMPRODUCT($B$2:$B$21,Table3[Jun.26])</f>
        <v>32123.52</v>
      </c>
      <c r="I22" s="68">
        <f>SUMPRODUCT($B$2:$B$21,Table3[Jul.26])</f>
        <v>30821.544000000002</v>
      </c>
      <c r="J22" s="68">
        <f>SUMPRODUCT($B$2:$B$21,Table3[Aug.26])</f>
        <v>32123.52</v>
      </c>
      <c r="K22" s="68">
        <f>SUMPRODUCT($B$2:$B$21,Table3[Sep.26])</f>
        <v>55742.16</v>
      </c>
      <c r="L22" s="68">
        <f>SUMPRODUCT($B$2:$B$21,Table3[Oct.26])</f>
        <v>32123.52</v>
      </c>
      <c r="M22" s="68">
        <f>SUMPRODUCT($B$2:$B$21,Table3[Nov.26])</f>
        <v>66994.224000000002</v>
      </c>
      <c r="N22" s="68">
        <f>SUMPRODUCT($B$2:$B$21,Table3[Dec.26])</f>
        <v>0</v>
      </c>
      <c r="O22" s="68">
        <f>SUMPRODUCT($B$2:$B$21,Table3[Jan.27])</f>
        <v>0</v>
      </c>
      <c r="P22" s="68">
        <f>SUMPRODUCT($B$2:$B$21,Table3[Feb.27])</f>
        <v>0</v>
      </c>
      <c r="Q22" s="68">
        <f>SUMPRODUCT($B$2:$B$21,Table3[Mar.27])</f>
        <v>0</v>
      </c>
      <c r="R22" s="69">
        <f>SUM(B22:Q22)</f>
        <v>347417.52</v>
      </c>
      <c r="S22" s="69">
        <v>250000</v>
      </c>
      <c r="T22" s="69">
        <f>S22-R22</f>
        <v>-97417.520000000019</v>
      </c>
    </row>
  </sheetData>
  <protectedRanges>
    <protectedRange sqref="A2:A7" name="Range2_1"/>
  </protectedRange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162D1-C55A-4E24-8A5A-36978AE7EA25}">
  <dimension ref="A1:AY16"/>
  <sheetViews>
    <sheetView workbookViewId="0">
      <pane xSplit="3" ySplit="2" topLeftCell="AR3" activePane="bottomRight" state="frozen"/>
      <selection activeCell="F24" sqref="F24"/>
      <selection pane="topRight" activeCell="F24" sqref="F24"/>
      <selection pane="bottomLeft" activeCell="F24" sqref="F24"/>
      <selection pane="bottomRight" activeCell="AT11" sqref="AT11"/>
    </sheetView>
  </sheetViews>
  <sheetFormatPr defaultRowHeight="14.5" x14ac:dyDescent="0.35"/>
  <cols>
    <col min="1" max="1" width="21.6328125" bestFit="1" customWidth="1"/>
    <col min="2" max="2" width="11.26953125" hidden="1" customWidth="1"/>
    <col min="3" max="3" width="11.26953125" customWidth="1"/>
    <col min="4" max="6" width="0" hidden="1" customWidth="1"/>
  </cols>
  <sheetData>
    <row r="1" spans="1:51" x14ac:dyDescent="0.35">
      <c r="A1" s="51"/>
      <c r="B1" s="51"/>
      <c r="C1" s="52" t="s">
        <v>379</v>
      </c>
      <c r="D1" s="53" t="s">
        <v>380</v>
      </c>
      <c r="E1" s="53"/>
      <c r="F1" s="53"/>
      <c r="G1" s="54" t="s">
        <v>381</v>
      </c>
      <c r="H1" s="54"/>
      <c r="I1" s="54"/>
      <c r="J1" s="62"/>
      <c r="K1" s="62" t="s">
        <v>382</v>
      </c>
      <c r="L1" s="62"/>
      <c r="M1" s="63"/>
      <c r="N1" s="63" t="s">
        <v>383</v>
      </c>
      <c r="O1" s="63"/>
      <c r="P1" s="62" t="s">
        <v>384</v>
      </c>
      <c r="Q1" s="62" t="s">
        <v>384</v>
      </c>
      <c r="R1" s="62"/>
      <c r="S1" s="63" t="s">
        <v>385</v>
      </c>
      <c r="T1" s="63" t="s">
        <v>385</v>
      </c>
      <c r="U1" s="63"/>
      <c r="V1" s="62" t="s">
        <v>386</v>
      </c>
      <c r="W1" s="62" t="s">
        <v>386</v>
      </c>
      <c r="X1" s="62"/>
      <c r="Y1" s="63" t="s">
        <v>387</v>
      </c>
      <c r="Z1" s="63" t="s">
        <v>387</v>
      </c>
      <c r="AA1" s="63"/>
      <c r="AB1" s="62" t="s">
        <v>388</v>
      </c>
      <c r="AC1" s="62" t="s">
        <v>388</v>
      </c>
      <c r="AD1" s="62"/>
      <c r="AE1" s="63" t="s">
        <v>389</v>
      </c>
      <c r="AF1" s="63" t="s">
        <v>389</v>
      </c>
      <c r="AG1" s="63"/>
      <c r="AH1" s="62" t="s">
        <v>390</v>
      </c>
      <c r="AI1" s="62" t="s">
        <v>390</v>
      </c>
      <c r="AJ1" s="62"/>
      <c r="AK1" s="63" t="s">
        <v>391</v>
      </c>
      <c r="AL1" s="63" t="s">
        <v>391</v>
      </c>
      <c r="AM1" s="63"/>
      <c r="AN1" s="62" t="s">
        <v>392</v>
      </c>
      <c r="AO1" s="62" t="s">
        <v>392</v>
      </c>
      <c r="AP1" s="62"/>
      <c r="AQ1" s="63" t="s">
        <v>393</v>
      </c>
      <c r="AR1" s="63" t="s">
        <v>393</v>
      </c>
      <c r="AS1" s="63"/>
      <c r="AT1" s="63" t="s">
        <v>413</v>
      </c>
      <c r="AU1" s="63" t="s">
        <v>413</v>
      </c>
      <c r="AV1" s="63"/>
      <c r="AW1" s="63" t="s">
        <v>414</v>
      </c>
      <c r="AX1" s="63" t="s">
        <v>414</v>
      </c>
      <c r="AY1" s="63"/>
    </row>
    <row r="2" spans="1:51" x14ac:dyDescent="0.35">
      <c r="A2" s="52" t="s">
        <v>394</v>
      </c>
      <c r="B2" s="52" t="s">
        <v>395</v>
      </c>
      <c r="C2" s="55" t="s">
        <v>413</v>
      </c>
      <c r="D2" s="56" t="s">
        <v>396</v>
      </c>
      <c r="E2" s="56" t="s">
        <v>397</v>
      </c>
      <c r="F2" s="56" t="s">
        <v>398</v>
      </c>
      <c r="G2" s="57" t="s">
        <v>396</v>
      </c>
      <c r="H2" s="57" t="s">
        <v>397</v>
      </c>
      <c r="I2" s="57" t="s">
        <v>398</v>
      </c>
      <c r="J2" s="56" t="s">
        <v>396</v>
      </c>
      <c r="K2" s="56" t="s">
        <v>397</v>
      </c>
      <c r="L2" s="56" t="s">
        <v>398</v>
      </c>
      <c r="M2" s="57" t="s">
        <v>396</v>
      </c>
      <c r="N2" s="57" t="s">
        <v>397</v>
      </c>
      <c r="O2" s="57" t="s">
        <v>398</v>
      </c>
      <c r="P2" s="56" t="s">
        <v>396</v>
      </c>
      <c r="Q2" s="56" t="s">
        <v>397</v>
      </c>
      <c r="R2" s="56" t="s">
        <v>398</v>
      </c>
      <c r="S2" s="57" t="s">
        <v>396</v>
      </c>
      <c r="T2" s="57" t="s">
        <v>397</v>
      </c>
      <c r="U2" s="57" t="s">
        <v>398</v>
      </c>
      <c r="V2" s="56" t="s">
        <v>396</v>
      </c>
      <c r="W2" s="56" t="s">
        <v>397</v>
      </c>
      <c r="X2" s="56" t="s">
        <v>398</v>
      </c>
      <c r="Y2" s="57" t="s">
        <v>396</v>
      </c>
      <c r="Z2" s="57" t="s">
        <v>397</v>
      </c>
      <c r="AA2" s="57" t="s">
        <v>398</v>
      </c>
      <c r="AB2" s="56" t="s">
        <v>396</v>
      </c>
      <c r="AC2" s="56" t="s">
        <v>397</v>
      </c>
      <c r="AD2" s="56" t="s">
        <v>398</v>
      </c>
      <c r="AE2" s="57" t="s">
        <v>396</v>
      </c>
      <c r="AF2" s="57" t="s">
        <v>397</v>
      </c>
      <c r="AG2" s="57" t="s">
        <v>398</v>
      </c>
      <c r="AH2" s="56" t="s">
        <v>396</v>
      </c>
      <c r="AI2" s="56" t="s">
        <v>397</v>
      </c>
      <c r="AJ2" s="56" t="s">
        <v>398</v>
      </c>
      <c r="AK2" s="57" t="s">
        <v>396</v>
      </c>
      <c r="AL2" s="57" t="s">
        <v>397</v>
      </c>
      <c r="AM2" s="57" t="s">
        <v>398</v>
      </c>
      <c r="AN2" s="56" t="s">
        <v>396</v>
      </c>
      <c r="AO2" s="56" t="s">
        <v>397</v>
      </c>
      <c r="AP2" s="56" t="s">
        <v>398</v>
      </c>
      <c r="AQ2" s="57" t="s">
        <v>396</v>
      </c>
      <c r="AR2" s="57" t="s">
        <v>397</v>
      </c>
      <c r="AS2" s="57" t="s">
        <v>398</v>
      </c>
      <c r="AT2" s="57" t="s">
        <v>396</v>
      </c>
      <c r="AU2" s="57" t="s">
        <v>397</v>
      </c>
      <c r="AV2" s="57" t="s">
        <v>398</v>
      </c>
      <c r="AW2" s="57" t="s">
        <v>396</v>
      </c>
      <c r="AX2" s="57" t="s">
        <v>397</v>
      </c>
      <c r="AY2" s="57" t="s">
        <v>398</v>
      </c>
    </row>
    <row r="3" spans="1:51" x14ac:dyDescent="0.35">
      <c r="A3" s="16" t="s">
        <v>8</v>
      </c>
      <c r="B3" s="16">
        <v>288</v>
      </c>
      <c r="C3" s="16">
        <f>INDEX(D3:AZ3, MATCH($C$2, $D$1:$AZ$1, 0))/VLOOKUP(A3,'DK đặt hàng'!A:C,3,FALSE)</f>
        <v>3</v>
      </c>
      <c r="D3" s="58"/>
      <c r="E3" s="58">
        <f>SUMIFS([4]!Table2[Feb.26],[4]!Table2[Sản phẩm],NXT!$A3)</f>
        <v>0</v>
      </c>
      <c r="F3" s="58">
        <f>B3+D3-E3</f>
        <v>288</v>
      </c>
      <c r="G3" s="59"/>
      <c r="H3" s="59">
        <v>0</v>
      </c>
      <c r="I3" s="59">
        <f>F3+G3-H3</f>
        <v>288</v>
      </c>
      <c r="J3" s="58"/>
      <c r="K3" s="58">
        <f>SUMIFS(INDEX(Detail!$AA:$AL, 0, MATCH(K$1, Detail!$AA$1:$AL$1, 0)), Detail!$J:$J, $A3)</f>
        <v>0</v>
      </c>
      <c r="L3" s="58">
        <f>I3+J3-K3</f>
        <v>288</v>
      </c>
      <c r="M3" s="59"/>
      <c r="N3" s="59">
        <f>SUMIFS(INDEX(Detail!$AA:$AL, 0, MATCH(N$1, Detail!$AA$1:$AL$1, 0)), Detail!$J:$J, $A3)</f>
        <v>0</v>
      </c>
      <c r="O3" s="59">
        <f>L3+M3-N3</f>
        <v>288</v>
      </c>
      <c r="P3" s="58"/>
      <c r="Q3" s="58">
        <f>SUMIFS(INDEX(Detail!$AA:$AL, 0, MATCH(Q$1, Detail!$AA$1:$AL$1, 0)), Detail!$J:$J, $A3)</f>
        <v>28</v>
      </c>
      <c r="R3" s="58">
        <f>O3+P3-Q3</f>
        <v>260</v>
      </c>
      <c r="S3" s="59"/>
      <c r="T3" s="59">
        <f>SUMIFS(INDEX(Detail!$AA:$AL, 0, MATCH(T$1, Detail!$AA$1:$AL$1, 0)), Detail!$J:$J, $A3)</f>
        <v>28</v>
      </c>
      <c r="U3" s="59">
        <f>R3+S3-T3</f>
        <v>232</v>
      </c>
      <c r="V3" s="58"/>
      <c r="W3" s="58">
        <f>SUMIFS(INDEX(Detail!$AA:$AL, 0, MATCH(W$1, Detail!$AA$1:$AL$1, 0)), Detail!$J:$J, $A3)</f>
        <v>134</v>
      </c>
      <c r="X3" s="58">
        <f>U3+V3-W3</f>
        <v>98</v>
      </c>
      <c r="Y3" s="59">
        <f>288*3</f>
        <v>864</v>
      </c>
      <c r="Z3" s="59">
        <f>SUMIFS(INDEX(Detail!$AA:$AL, 0, MATCH(Z$1, Detail!$AA$1:$AL$1, 0)), Detail!$J:$J, $A3)</f>
        <v>235</v>
      </c>
      <c r="AA3" s="59">
        <f>X3+Y3-Z3</f>
        <v>727</v>
      </c>
      <c r="AB3" s="58">
        <v>288</v>
      </c>
      <c r="AC3" s="58">
        <f>SUMIFS(INDEX(Detail!$AA:$AL, 0, MATCH(AC$1, Detail!$AA$1:$AL$1, 0)), Detail!$J:$J, $A3)</f>
        <v>304</v>
      </c>
      <c r="AD3" s="58">
        <f>AA3+AB3-AC3</f>
        <v>711</v>
      </c>
      <c r="AE3" s="59"/>
      <c r="AF3" s="59">
        <f>SUMIFS(INDEX(Detail!$AA:$AL, 0, MATCH(AF$1, Detail!$AA$1:$AL$1, 0)), Detail!$J:$J, $A3)</f>
        <v>305</v>
      </c>
      <c r="AG3" s="59">
        <f>AD3+AE3-AF3</f>
        <v>406</v>
      </c>
      <c r="AH3" s="58">
        <f>288*3</f>
        <v>864</v>
      </c>
      <c r="AI3" s="58">
        <f>SUMIFS(INDEX(Detail!$AA:$AL, 0, MATCH(AI$1, Detail!$AA$1:$AL$1, 0)), Detail!$J:$J, $A3)</f>
        <v>380</v>
      </c>
      <c r="AJ3" s="58">
        <f>AG3+AH3-AI3</f>
        <v>890</v>
      </c>
      <c r="AK3" s="59"/>
      <c r="AL3" s="59">
        <f>SUMIFS(INDEX(Detail!$AA:$AL, 0, MATCH(AL$1, Detail!$AA$1:$AL$1, 0)), Detail!$J:$J, $A3)</f>
        <v>558</v>
      </c>
      <c r="AM3" s="59">
        <f>AJ3+AK3-AL3</f>
        <v>332</v>
      </c>
      <c r="AN3" s="58">
        <f>288*5</f>
        <v>1440</v>
      </c>
      <c r="AO3" s="58">
        <f>SUMIFS(INDEX(Detail!$AA:$AL, 0, MATCH(AO$1, Detail!$AA$1:$AL$1, 0)), Detail!$J:$J, $A3)</f>
        <v>558</v>
      </c>
      <c r="AP3" s="58">
        <f>AM3+AN3-AO3</f>
        <v>1214</v>
      </c>
      <c r="AQ3" s="59"/>
      <c r="AR3" s="59">
        <f>SUMIFS(INDEX(Detail!$AA:$AL, 0, MATCH(AR$1, Detail!$AA$1:$AL$1, 0)), Detail!$J:$J, $A3)</f>
        <v>558</v>
      </c>
      <c r="AS3" s="59">
        <f>AP3+AQ3-AR3</f>
        <v>656</v>
      </c>
      <c r="AT3" s="59">
        <f>288*3</f>
        <v>864</v>
      </c>
      <c r="AU3" s="59">
        <f>SUMIFS(INDEX(Detail!$AA:$AN, 0, MATCH(AU$1, Detail!$AA$1:$AN$1, 0)), Detail!$J:$J, $A3)</f>
        <v>558</v>
      </c>
      <c r="AV3" s="59">
        <f>AS3+AT3-AU3</f>
        <v>962</v>
      </c>
      <c r="AW3" s="59"/>
      <c r="AX3" s="59">
        <f>SUMIFS(INDEX(Detail!$AA:$AN, 0, MATCH(AX$1, Detail!$AA$1:$AN$1, 0)), Detail!$J:$J, $A3)</f>
        <v>558</v>
      </c>
      <c r="AY3" s="59">
        <f>AV3+AW3-AX3</f>
        <v>404</v>
      </c>
    </row>
    <row r="4" spans="1:51" x14ac:dyDescent="0.35">
      <c r="A4" s="16" t="s">
        <v>15</v>
      </c>
      <c r="B4" s="16">
        <v>192</v>
      </c>
      <c r="C4" s="16">
        <f>INDEX(D4:AZ4, MATCH($C$2, $D$1:$AZ$1, 0))/VLOOKUP(A4,'DK đặt hàng'!A:C,3,FALSE)</f>
        <v>0</v>
      </c>
      <c r="D4" s="58"/>
      <c r="E4" s="58">
        <f>SUMIFS([4]!Table2[Feb.26],[4]!Table2[Sản phẩm],NXT!$A4)</f>
        <v>0</v>
      </c>
      <c r="F4" s="58">
        <f t="shared" ref="F4:F15" si="0">B4+D4-E4</f>
        <v>192</v>
      </c>
      <c r="G4" s="59"/>
      <c r="H4" s="59">
        <v>0</v>
      </c>
      <c r="I4" s="59">
        <f t="shared" ref="I4:I15" si="1">F4+G4-H4</f>
        <v>192</v>
      </c>
      <c r="J4" s="58"/>
      <c r="K4" s="58">
        <f>SUMIFS(INDEX(Detail!$AA:$AL, 0, MATCH(K$1, Detail!$AA$1:$AL$1, 0)), Detail!$J:$J, $A4)</f>
        <v>0</v>
      </c>
      <c r="L4" s="58">
        <f t="shared" ref="L4:L15" si="2">I4+J4-K4</f>
        <v>192</v>
      </c>
      <c r="M4" s="59"/>
      <c r="N4" s="59">
        <f>SUMIFS(INDEX(Detail!$AA:$AL, 0, MATCH(N$1, Detail!$AA$1:$AL$1, 0)), Detail!$J:$J, $A4)</f>
        <v>0</v>
      </c>
      <c r="O4" s="59">
        <f t="shared" ref="O4:O15" si="3">L4+M4-N4</f>
        <v>192</v>
      </c>
      <c r="P4" s="58"/>
      <c r="Q4" s="58">
        <f>SUMIFS(INDEX(Detail!$AA:$AL, 0, MATCH(Q$1, Detail!$AA$1:$AL$1, 0)), Detail!$J:$J, $A4)</f>
        <v>0</v>
      </c>
      <c r="R4" s="58">
        <f t="shared" ref="R4:R15" si="4">O4+P4-Q4</f>
        <v>192</v>
      </c>
      <c r="S4" s="59"/>
      <c r="T4" s="59">
        <f>SUMIFS(INDEX(Detail!$AA:$AL, 0, MATCH(T$1, Detail!$AA$1:$AL$1, 0)), Detail!$J:$J, $A4)</f>
        <v>0</v>
      </c>
      <c r="U4" s="59">
        <f t="shared" ref="U4:U15" si="5">R4+S4-T4</f>
        <v>192</v>
      </c>
      <c r="V4" s="58"/>
      <c r="W4" s="58">
        <f>SUMIFS(INDEX(Detail!$AA:$AL, 0, MATCH(W$1, Detail!$AA$1:$AL$1, 0)), Detail!$J:$J, $A4)</f>
        <v>0</v>
      </c>
      <c r="X4" s="58">
        <f t="shared" ref="X4:X15" si="6">U4+V4-W4</f>
        <v>192</v>
      </c>
      <c r="Y4" s="59"/>
      <c r="Z4" s="59">
        <f>SUMIFS(INDEX(Detail!$AA:$AL, 0, MATCH(Z$1, Detail!$AA$1:$AL$1, 0)), Detail!$J:$J, $A4)</f>
        <v>0</v>
      </c>
      <c r="AA4" s="59">
        <f t="shared" ref="AA4:AA15" si="7">X4+Y4-Z4</f>
        <v>192</v>
      </c>
      <c r="AB4" s="58"/>
      <c r="AC4" s="58">
        <f>SUMIFS(INDEX(Detail!$AA:$AL, 0, MATCH(AC$1, Detail!$AA$1:$AL$1, 0)), Detail!$J:$J, $A4)</f>
        <v>0</v>
      </c>
      <c r="AD4" s="58">
        <f t="shared" ref="AD4:AD15" si="8">AA4+AB4-AC4</f>
        <v>192</v>
      </c>
      <c r="AE4" s="59"/>
      <c r="AF4" s="59">
        <f>SUMIFS(INDEX(Detail!$AA:$AL, 0, MATCH(AF$1, Detail!$AA$1:$AL$1, 0)), Detail!$J:$J, $A4)</f>
        <v>5</v>
      </c>
      <c r="AG4" s="59">
        <f t="shared" ref="AG4:AG15" si="9">AD4+AE4-AF4</f>
        <v>187</v>
      </c>
      <c r="AH4" s="58"/>
      <c r="AI4" s="58">
        <f>SUMIFS(INDEX(Detail!$AA:$AL, 0, MATCH(AI$1, Detail!$AA$1:$AL$1, 0)), Detail!$J:$J, $A4)</f>
        <v>5</v>
      </c>
      <c r="AJ4" s="58">
        <f t="shared" ref="AJ4:AJ15" si="10">AG4+AH4-AI4</f>
        <v>182</v>
      </c>
      <c r="AK4" s="59"/>
      <c r="AL4" s="59">
        <f>SUMIFS(INDEX(Detail!$AA:$AL, 0, MATCH(AL$1, Detail!$AA$1:$AL$1, 0)), Detail!$J:$J, $A4)</f>
        <v>5</v>
      </c>
      <c r="AM4" s="59">
        <f t="shared" ref="AM4:AM15" si="11">AJ4+AK4-AL4</f>
        <v>177</v>
      </c>
      <c r="AN4" s="58"/>
      <c r="AO4" s="58">
        <f>SUMIFS(INDEX(Detail!$AA:$AL, 0, MATCH(AO$1, Detail!$AA$1:$AL$1, 0)), Detail!$J:$J, $A4)</f>
        <v>5</v>
      </c>
      <c r="AP4" s="58">
        <f t="shared" ref="AP4:AP15" si="12">AM4+AN4-AO4</f>
        <v>172</v>
      </c>
      <c r="AQ4" s="59"/>
      <c r="AR4" s="59">
        <f>SUMIFS(INDEX(Detail!$AA:$AL, 0, MATCH(AR$1, Detail!$AA$1:$AL$1, 0)), Detail!$J:$J, $A4)</f>
        <v>5</v>
      </c>
      <c r="AS4" s="59">
        <f t="shared" ref="AS4:AS15" si="13">AP4+AQ4-AR4</f>
        <v>167</v>
      </c>
      <c r="AT4" s="59"/>
      <c r="AU4" s="59">
        <f>SUMIFS(INDEX(Detail!$AA:$AN, 0, MATCH(AU$1, Detail!$AA$1:$AN$1, 0)), Detail!$J:$J, $A4)</f>
        <v>5</v>
      </c>
      <c r="AV4" s="59">
        <f t="shared" ref="AV4:AV15" si="14">AS4+AT4-AU4</f>
        <v>162</v>
      </c>
      <c r="AW4" s="59"/>
      <c r="AX4" s="59">
        <f>SUMIFS(INDEX(Detail!$AA:$AN, 0, MATCH(AX$1, Detail!$AA$1:$AN$1, 0)), Detail!$J:$J, $A4)</f>
        <v>5</v>
      </c>
      <c r="AY4" s="59">
        <f t="shared" ref="AY4:AY15" si="15">AV4+AW4-AX4</f>
        <v>157</v>
      </c>
    </row>
    <row r="5" spans="1:51" x14ac:dyDescent="0.35">
      <c r="A5" s="16" t="s">
        <v>10</v>
      </c>
      <c r="B5" s="16">
        <v>360</v>
      </c>
      <c r="C5" s="16">
        <f>INDEX(D5:AZ5, MATCH($C$2, $D$1:$AZ$1, 0))/VLOOKUP(A5,'DK đặt hàng'!A:C,3,FALSE)</f>
        <v>1</v>
      </c>
      <c r="D5" s="58"/>
      <c r="E5" s="58">
        <f>SUMIFS([4]!Table2[Feb.26],[4]!Table2[Sản phẩm],NXT!$A5)</f>
        <v>0</v>
      </c>
      <c r="F5" s="58">
        <f t="shared" si="0"/>
        <v>360</v>
      </c>
      <c r="G5" s="59"/>
      <c r="H5" s="60">
        <v>30</v>
      </c>
      <c r="I5" s="59">
        <f t="shared" si="1"/>
        <v>330</v>
      </c>
      <c r="J5" s="58"/>
      <c r="K5" s="58">
        <f>SUMIFS(INDEX(Detail!$AA:$AL, 0, MATCH(K$1, Detail!$AA$1:$AL$1, 0)), Detail!$J:$J, $A5)</f>
        <v>42</v>
      </c>
      <c r="L5" s="58">
        <f t="shared" si="2"/>
        <v>288</v>
      </c>
      <c r="M5" s="59"/>
      <c r="N5" s="59">
        <f>SUMIFS(INDEX(Detail!$AA:$AL, 0, MATCH(N$1, Detail!$AA$1:$AL$1, 0)), Detail!$J:$J, $A5)</f>
        <v>42</v>
      </c>
      <c r="O5" s="59">
        <f t="shared" si="3"/>
        <v>246</v>
      </c>
      <c r="P5" s="58"/>
      <c r="Q5" s="58">
        <f>SUMIFS(INDEX(Detail!$AA:$AL, 0, MATCH(Q$1, Detail!$AA$1:$AL$1, 0)), Detail!$J:$J, $A5)</f>
        <v>42</v>
      </c>
      <c r="R5" s="58">
        <f t="shared" si="4"/>
        <v>204</v>
      </c>
      <c r="S5" s="59"/>
      <c r="T5" s="59">
        <f>SUMIFS(INDEX(Detail!$AA:$AL, 0, MATCH(T$1, Detail!$AA$1:$AL$1, 0)), Detail!$J:$J, $A5)</f>
        <v>42</v>
      </c>
      <c r="U5" s="59">
        <f t="shared" si="5"/>
        <v>162</v>
      </c>
      <c r="V5" s="58">
        <v>360</v>
      </c>
      <c r="W5" s="58">
        <f>SUMIFS(INDEX(Detail!$AA:$AL, 0, MATCH(W$1, Detail!$AA$1:$AL$1, 0)), Detail!$J:$J, $A5)</f>
        <v>59</v>
      </c>
      <c r="X5" s="58">
        <f t="shared" si="6"/>
        <v>463</v>
      </c>
      <c r="Y5" s="59"/>
      <c r="Z5" s="59">
        <f>SUMIFS(INDEX(Detail!$AA:$AL, 0, MATCH(Z$1, Detail!$AA$1:$AL$1, 0)), Detail!$J:$J, $A5)</f>
        <v>59</v>
      </c>
      <c r="AA5" s="59">
        <f t="shared" si="7"/>
        <v>404</v>
      </c>
      <c r="AB5" s="58">
        <f>360*3</f>
        <v>1080</v>
      </c>
      <c r="AC5" s="58">
        <f>SUMIFS(INDEX(Detail!$AA:$AL, 0, MATCH(AC$1, Detail!$AA$1:$AL$1, 0)), Detail!$J:$J, $A5)</f>
        <v>210</v>
      </c>
      <c r="AD5" s="58">
        <f t="shared" si="8"/>
        <v>1274</v>
      </c>
      <c r="AE5" s="59"/>
      <c r="AF5" s="59">
        <f>SUMIFS(INDEX(Detail!$AA:$AL, 0, MATCH(AF$1, Detail!$AA$1:$AL$1, 0)), Detail!$J:$J, $A5)</f>
        <v>227</v>
      </c>
      <c r="AG5" s="59">
        <f t="shared" si="9"/>
        <v>1047</v>
      </c>
      <c r="AH5" s="58"/>
      <c r="AI5" s="58">
        <f>SUMIFS(INDEX(Detail!$AA:$AL, 0, MATCH(AI$1, Detail!$AA$1:$AL$1, 0)), Detail!$J:$J, $A5)</f>
        <v>336</v>
      </c>
      <c r="AJ5" s="58">
        <f t="shared" si="10"/>
        <v>711</v>
      </c>
      <c r="AK5" s="59"/>
      <c r="AL5" s="59">
        <f>SUMIFS(INDEX(Detail!$AA:$AL, 0, MATCH(AL$1, Detail!$AA$1:$AL$1, 0)), Detail!$J:$J, $A5)</f>
        <v>336</v>
      </c>
      <c r="AM5" s="59">
        <f t="shared" si="11"/>
        <v>375</v>
      </c>
      <c r="AN5" s="58">
        <f>360*3</f>
        <v>1080</v>
      </c>
      <c r="AO5" s="58">
        <f>SUMIFS(INDEX(Detail!$AA:$AL, 0, MATCH(AO$1, Detail!$AA$1:$AL$1, 0)), Detail!$J:$J, $A5)</f>
        <v>336</v>
      </c>
      <c r="AP5" s="58">
        <f t="shared" si="12"/>
        <v>1119</v>
      </c>
      <c r="AQ5" s="59"/>
      <c r="AR5" s="59">
        <f>SUMIFS(INDEX(Detail!$AA:$AL, 0, MATCH(AR$1, Detail!$AA$1:$AL$1, 0)), Detail!$J:$J, $A5)</f>
        <v>336</v>
      </c>
      <c r="AS5" s="59">
        <f t="shared" si="13"/>
        <v>783</v>
      </c>
      <c r="AT5" s="59">
        <f>360</f>
        <v>360</v>
      </c>
      <c r="AU5" s="59">
        <f>SUMIFS(INDEX(Detail!$AA:$AN, 0, MATCH(AU$1, Detail!$AA$1:$AN$1, 0)), Detail!$J:$J, $A5)</f>
        <v>336</v>
      </c>
      <c r="AV5" s="59">
        <f t="shared" si="14"/>
        <v>807</v>
      </c>
      <c r="AW5" s="59"/>
      <c r="AX5" s="59">
        <f>SUMIFS(INDEX(Detail!$AA:$AN, 0, MATCH(AX$1, Detail!$AA$1:$AN$1, 0)), Detail!$J:$J, $A5)</f>
        <v>336</v>
      </c>
      <c r="AY5" s="59">
        <f t="shared" si="15"/>
        <v>471</v>
      </c>
    </row>
    <row r="6" spans="1:51" x14ac:dyDescent="0.35">
      <c r="A6" s="16" t="s">
        <v>13</v>
      </c>
      <c r="B6" s="16">
        <v>360</v>
      </c>
      <c r="C6" s="16">
        <f>INDEX(D6:AZ6, MATCH($C$2, $D$1:$AZ$1, 0))/VLOOKUP(A6,'DK đặt hàng'!A:C,3,FALSE)</f>
        <v>2</v>
      </c>
      <c r="D6" s="58"/>
      <c r="E6" s="58">
        <f>SUMIFS([4]!Table2[Feb.26],[4]!Table2[Sản phẩm],NXT!$A6)</f>
        <v>0</v>
      </c>
      <c r="F6" s="58">
        <f t="shared" si="0"/>
        <v>360</v>
      </c>
      <c r="G6" s="59"/>
      <c r="H6" s="59">
        <v>0</v>
      </c>
      <c r="I6" s="59">
        <f t="shared" si="1"/>
        <v>360</v>
      </c>
      <c r="J6" s="58"/>
      <c r="K6" s="58">
        <f>SUMIFS(INDEX(Detail!$AA:$AL, 0, MATCH(K$1, Detail!$AA$1:$AL$1, 0)), Detail!$J:$J, $A6)</f>
        <v>0</v>
      </c>
      <c r="L6" s="58">
        <f t="shared" si="2"/>
        <v>360</v>
      </c>
      <c r="M6" s="59"/>
      <c r="N6" s="59">
        <f>SUMIFS(INDEX(Detail!$AA:$AL, 0, MATCH(N$1, Detail!$AA$1:$AL$1, 0)), Detail!$J:$J, $A6)</f>
        <v>9</v>
      </c>
      <c r="O6" s="59">
        <f t="shared" si="3"/>
        <v>351</v>
      </c>
      <c r="P6" s="58"/>
      <c r="Q6" s="58">
        <f>SUMIFS(INDEX(Detail!$AA:$AL, 0, MATCH(Q$1, Detail!$AA$1:$AL$1, 0)), Detail!$J:$J, $A6)</f>
        <v>9</v>
      </c>
      <c r="R6" s="58">
        <f t="shared" si="4"/>
        <v>342</v>
      </c>
      <c r="S6" s="59"/>
      <c r="T6" s="59">
        <f>SUMIFS(INDEX(Detail!$AA:$AL, 0, MATCH(T$1, Detail!$AA$1:$AL$1, 0)), Detail!$J:$J, $A6)</f>
        <v>9</v>
      </c>
      <c r="U6" s="59">
        <f t="shared" si="5"/>
        <v>333</v>
      </c>
      <c r="V6" s="58">
        <v>360</v>
      </c>
      <c r="W6" s="58">
        <f>SUMIFS(INDEX(Detail!$AA:$AL, 0, MATCH(W$1, Detail!$AA$1:$AL$1, 0)), Detail!$J:$J, $A6)</f>
        <v>105</v>
      </c>
      <c r="X6" s="58">
        <f t="shared" si="6"/>
        <v>588</v>
      </c>
      <c r="Y6" s="59"/>
      <c r="Z6" s="59">
        <f>SUMIFS(INDEX(Detail!$AA:$AL, 0, MATCH(Z$1, Detail!$AA$1:$AL$1, 0)), Detail!$J:$J, $A6)</f>
        <v>114</v>
      </c>
      <c r="AA6" s="59">
        <f t="shared" si="7"/>
        <v>474</v>
      </c>
      <c r="AB6" s="58"/>
      <c r="AC6" s="58">
        <f>SUMIFS(INDEX(Detail!$AA:$AL, 0, MATCH(AC$1, Detail!$AA$1:$AL$1, 0)), Detail!$J:$J, $A6)</f>
        <v>114</v>
      </c>
      <c r="AD6" s="58">
        <f t="shared" si="8"/>
        <v>360</v>
      </c>
      <c r="AE6" s="59"/>
      <c r="AF6" s="59">
        <f>SUMIFS(INDEX(Detail!$AA:$AL, 0, MATCH(AF$1, Detail!$AA$1:$AL$1, 0)), Detail!$J:$J, $A6)</f>
        <v>115</v>
      </c>
      <c r="AG6" s="59">
        <f t="shared" si="9"/>
        <v>245</v>
      </c>
      <c r="AH6" s="58">
        <f>360*2</f>
        <v>720</v>
      </c>
      <c r="AI6" s="58">
        <f>SUMIFS(INDEX(Detail!$AA:$AL, 0, MATCH(AI$1, Detail!$AA$1:$AL$1, 0)), Detail!$J:$J, $A6)</f>
        <v>115</v>
      </c>
      <c r="AJ6" s="58">
        <f t="shared" si="10"/>
        <v>850</v>
      </c>
      <c r="AK6" s="59"/>
      <c r="AL6" s="59">
        <f>SUMIFS(INDEX(Detail!$AA:$AL, 0, MATCH(AL$1, Detail!$AA$1:$AL$1, 0)), Detail!$J:$J, $A6)</f>
        <v>153</v>
      </c>
      <c r="AM6" s="59">
        <f t="shared" si="11"/>
        <v>697</v>
      </c>
      <c r="AN6" s="58"/>
      <c r="AO6" s="58">
        <f>SUMIFS(INDEX(Detail!$AA:$AL, 0, MATCH(AO$1, Detail!$AA$1:$AL$1, 0)), Detail!$J:$J, $A6)</f>
        <v>153</v>
      </c>
      <c r="AP6" s="58">
        <f t="shared" si="12"/>
        <v>544</v>
      </c>
      <c r="AQ6" s="59"/>
      <c r="AR6" s="59">
        <f>SUMIFS(INDEX(Detail!$AA:$AL, 0, MATCH(AR$1, Detail!$AA$1:$AL$1, 0)), Detail!$J:$J, $A6)</f>
        <v>153</v>
      </c>
      <c r="AS6" s="59">
        <f t="shared" si="13"/>
        <v>391</v>
      </c>
      <c r="AT6" s="59">
        <f>360*2</f>
        <v>720</v>
      </c>
      <c r="AU6" s="59">
        <f>SUMIFS(INDEX(Detail!$AA:$AN, 0, MATCH(AU$1, Detail!$AA$1:$AN$1, 0)), Detail!$J:$J, $A6)</f>
        <v>153</v>
      </c>
      <c r="AV6" s="59">
        <f t="shared" si="14"/>
        <v>958</v>
      </c>
      <c r="AW6" s="59"/>
      <c r="AX6" s="59">
        <f>SUMIFS(INDEX(Detail!$AA:$AN, 0, MATCH(AX$1, Detail!$AA$1:$AN$1, 0)), Detail!$J:$J, $A6)</f>
        <v>153</v>
      </c>
      <c r="AY6" s="59">
        <f t="shared" si="15"/>
        <v>805</v>
      </c>
    </row>
    <row r="7" spans="1:51" x14ac:dyDescent="0.35">
      <c r="A7" s="16" t="s">
        <v>12</v>
      </c>
      <c r="B7" s="16">
        <v>252</v>
      </c>
      <c r="C7" s="16">
        <f>INDEX(D7:AZ7, MATCH($C$2, $D$1:$AZ$1, 0))/VLOOKUP(A7,'DK đặt hàng'!A:C,3,FALSE)</f>
        <v>0</v>
      </c>
      <c r="D7" s="58"/>
      <c r="E7" s="58">
        <f>SUMIFS([4]!Table2[Feb.26],[4]!Table2[Sản phẩm],NXT!$A7)</f>
        <v>0</v>
      </c>
      <c r="F7" s="58">
        <f t="shared" si="0"/>
        <v>252</v>
      </c>
      <c r="G7" s="59"/>
      <c r="H7" s="59">
        <v>0</v>
      </c>
      <c r="I7" s="59">
        <f t="shared" si="1"/>
        <v>252</v>
      </c>
      <c r="J7" s="58"/>
      <c r="K7" s="58">
        <f>SUMIFS(INDEX(Detail!$AA:$AL, 0, MATCH(K$1, Detail!$AA$1:$AL$1, 0)), Detail!$J:$J, $A7)</f>
        <v>0</v>
      </c>
      <c r="L7" s="58">
        <f t="shared" si="2"/>
        <v>252</v>
      </c>
      <c r="M7" s="59"/>
      <c r="N7" s="59">
        <f>SUMIFS(INDEX(Detail!$AA:$AL, 0, MATCH(N$1, Detail!$AA$1:$AL$1, 0)), Detail!$J:$J, $A7)</f>
        <v>0</v>
      </c>
      <c r="O7" s="59">
        <f t="shared" si="3"/>
        <v>252</v>
      </c>
      <c r="P7" s="58"/>
      <c r="Q7" s="58">
        <f>SUMIFS(INDEX(Detail!$AA:$AL, 0, MATCH(Q$1, Detail!$AA$1:$AL$1, 0)), Detail!$J:$J, $A7)</f>
        <v>4</v>
      </c>
      <c r="R7" s="58">
        <f t="shared" si="4"/>
        <v>248</v>
      </c>
      <c r="S7" s="59"/>
      <c r="T7" s="59">
        <f>SUMIFS(INDEX(Detail!$AA:$AL, 0, MATCH(T$1, Detail!$AA$1:$AL$1, 0)), Detail!$J:$J, $A7)</f>
        <v>4</v>
      </c>
      <c r="U7" s="59">
        <f t="shared" si="5"/>
        <v>244</v>
      </c>
      <c r="V7" s="58">
        <f>252</f>
        <v>252</v>
      </c>
      <c r="W7" s="58">
        <f>SUMIFS(INDEX(Detail!$AA:$AL, 0, MATCH(W$1, Detail!$AA$1:$AL$1, 0)), Detail!$J:$J, $A7)</f>
        <v>35</v>
      </c>
      <c r="X7" s="58">
        <f t="shared" si="6"/>
        <v>461</v>
      </c>
      <c r="Y7" s="59"/>
      <c r="Z7" s="59">
        <f>SUMIFS(INDEX(Detail!$AA:$AL, 0, MATCH(Z$1, Detail!$AA$1:$AL$1, 0)), Detail!$J:$J, $A7)</f>
        <v>35</v>
      </c>
      <c r="AA7" s="59">
        <f t="shared" si="7"/>
        <v>426</v>
      </c>
      <c r="AB7" s="58"/>
      <c r="AC7" s="58">
        <f>SUMIFS(INDEX(Detail!$AA:$AL, 0, MATCH(AC$1, Detail!$AA$1:$AL$1, 0)), Detail!$J:$J, $A7)</f>
        <v>38</v>
      </c>
      <c r="AD7" s="58">
        <f t="shared" si="8"/>
        <v>388</v>
      </c>
      <c r="AE7" s="59"/>
      <c r="AF7" s="59">
        <f>SUMIFS(INDEX(Detail!$AA:$AL, 0, MATCH(AF$1, Detail!$AA$1:$AL$1, 0)), Detail!$J:$J, $A7)</f>
        <v>40</v>
      </c>
      <c r="AG7" s="59">
        <f t="shared" si="9"/>
        <v>348</v>
      </c>
      <c r="AH7" s="58">
        <f>252*2</f>
        <v>504</v>
      </c>
      <c r="AI7" s="58">
        <f>SUMIFS(INDEX(Detail!$AA:$AL, 0, MATCH(AI$1, Detail!$AA$1:$AL$1, 0)), Detail!$J:$J, $A7)</f>
        <v>249</v>
      </c>
      <c r="AJ7" s="58">
        <f t="shared" si="10"/>
        <v>603</v>
      </c>
      <c r="AK7" s="59"/>
      <c r="AL7" s="59">
        <f>SUMIFS(INDEX(Detail!$AA:$AL, 0, MATCH(AL$1, Detail!$AA$1:$AL$1, 0)), Detail!$J:$J, $A7)</f>
        <v>250</v>
      </c>
      <c r="AM7" s="59">
        <f t="shared" si="11"/>
        <v>353</v>
      </c>
      <c r="AN7" s="58">
        <f>252*4</f>
        <v>1008</v>
      </c>
      <c r="AO7" s="58">
        <f>SUMIFS(INDEX(Detail!$AA:$AL, 0, MATCH(AO$1, Detail!$AA$1:$AL$1, 0)), Detail!$J:$J, $A7)</f>
        <v>250</v>
      </c>
      <c r="AP7" s="58">
        <f t="shared" si="12"/>
        <v>1111</v>
      </c>
      <c r="AQ7" s="59"/>
      <c r="AR7" s="59">
        <f>SUMIFS(INDEX(Detail!$AA:$AL, 0, MATCH(AR$1, Detail!$AA$1:$AL$1, 0)), Detail!$J:$J, $A7)</f>
        <v>250</v>
      </c>
      <c r="AS7" s="59">
        <f t="shared" si="13"/>
        <v>861</v>
      </c>
      <c r="AT7" s="59"/>
      <c r="AU7" s="59">
        <f>SUMIFS(INDEX(Detail!$AA:$AN, 0, MATCH(AU$1, Detail!$AA$1:$AN$1, 0)), Detail!$J:$J, $A7)</f>
        <v>250</v>
      </c>
      <c r="AV7" s="59">
        <f t="shared" si="14"/>
        <v>611</v>
      </c>
      <c r="AW7" s="59"/>
      <c r="AX7" s="59">
        <f>SUMIFS(INDEX(Detail!$AA:$AN, 0, MATCH(AX$1, Detail!$AA$1:$AN$1, 0)), Detail!$J:$J, $A7)</f>
        <v>250</v>
      </c>
      <c r="AY7" s="59">
        <f t="shared" si="15"/>
        <v>361</v>
      </c>
    </row>
    <row r="8" spans="1:51" x14ac:dyDescent="0.35">
      <c r="A8" s="16" t="s">
        <v>9</v>
      </c>
      <c r="B8" s="16">
        <v>192</v>
      </c>
      <c r="C8" s="16">
        <f>INDEX(D8:AZ8, MATCH($C$2, $D$1:$AZ$1, 0))/VLOOKUP(A8,'DK đặt hàng'!A:C,3,FALSE)</f>
        <v>3</v>
      </c>
      <c r="D8" s="58"/>
      <c r="E8" s="58">
        <f>SUMIFS([4]!Table2[Feb.26],[4]!Table2[Sản phẩm],NXT!$A8)</f>
        <v>0</v>
      </c>
      <c r="F8" s="58">
        <f t="shared" si="0"/>
        <v>192</v>
      </c>
      <c r="G8" s="59"/>
      <c r="H8" s="59">
        <v>0</v>
      </c>
      <c r="I8" s="59">
        <f t="shared" si="1"/>
        <v>192</v>
      </c>
      <c r="J8" s="58"/>
      <c r="K8" s="58">
        <f>SUMIFS(INDEX(Detail!$AA:$AL, 0, MATCH(K$1, Detail!$AA$1:$AL$1, 0)), Detail!$J:$J, $A8)</f>
        <v>0</v>
      </c>
      <c r="L8" s="58">
        <f t="shared" si="2"/>
        <v>192</v>
      </c>
      <c r="M8" s="59"/>
      <c r="N8" s="59">
        <f>SUMIFS(INDEX(Detail!$AA:$AL, 0, MATCH(N$1, Detail!$AA$1:$AL$1, 0)), Detail!$J:$J, $A8)</f>
        <v>7</v>
      </c>
      <c r="O8" s="59">
        <f t="shared" si="3"/>
        <v>185</v>
      </c>
      <c r="P8" s="58"/>
      <c r="Q8" s="58">
        <f>SUMIFS(INDEX(Detail!$AA:$AL, 0, MATCH(Q$1, Detail!$AA$1:$AL$1, 0)), Detail!$J:$J, $A8)</f>
        <v>7</v>
      </c>
      <c r="R8" s="58">
        <f t="shared" si="4"/>
        <v>178</v>
      </c>
      <c r="S8" s="59"/>
      <c r="T8" s="59">
        <f>SUMIFS(INDEX(Detail!$AA:$AL, 0, MATCH(T$1, Detail!$AA$1:$AL$1, 0)), Detail!$J:$J, $A8)</f>
        <v>7</v>
      </c>
      <c r="U8" s="59">
        <f t="shared" si="5"/>
        <v>171</v>
      </c>
      <c r="V8" s="58"/>
      <c r="W8" s="58">
        <f>SUMIFS(INDEX(Detail!$AA:$AL, 0, MATCH(W$1, Detail!$AA$1:$AL$1, 0)), Detail!$J:$J, $A8)</f>
        <v>22</v>
      </c>
      <c r="X8" s="58">
        <f t="shared" si="6"/>
        <v>149</v>
      </c>
      <c r="Y8" s="59"/>
      <c r="Z8" s="59">
        <f>SUMIFS(INDEX(Detail!$AA:$AL, 0, MATCH(Z$1, Detail!$AA$1:$AL$1, 0)), Detail!$J:$J, $A8)</f>
        <v>28</v>
      </c>
      <c r="AA8" s="59">
        <f t="shared" si="7"/>
        <v>121</v>
      </c>
      <c r="AB8" s="58">
        <f>96*3</f>
        <v>288</v>
      </c>
      <c r="AC8" s="58">
        <f>SUMIFS(INDEX(Detail!$AA:$AL, 0, MATCH(AC$1, Detail!$AA$1:$AL$1, 0)), Detail!$J:$J, $A8)</f>
        <v>74</v>
      </c>
      <c r="AD8" s="58">
        <f t="shared" si="8"/>
        <v>335</v>
      </c>
      <c r="AE8" s="59"/>
      <c r="AF8" s="59">
        <f>SUMIFS(INDEX(Detail!$AA:$AL, 0, MATCH(AF$1, Detail!$AA$1:$AL$1, 0)), Detail!$J:$J, $A8)</f>
        <v>75</v>
      </c>
      <c r="AG8" s="59">
        <f t="shared" si="9"/>
        <v>260</v>
      </c>
      <c r="AH8" s="58"/>
      <c r="AI8" s="58">
        <f>SUMIFS(INDEX(Detail!$AA:$AL, 0, MATCH(AI$1, Detail!$AA$1:$AL$1, 0)), Detail!$J:$J, $A8)</f>
        <v>84</v>
      </c>
      <c r="AJ8" s="58">
        <f t="shared" si="10"/>
        <v>176</v>
      </c>
      <c r="AK8" s="59"/>
      <c r="AL8" s="59">
        <f>SUMIFS(INDEX(Detail!$AA:$AL, 0, MATCH(AL$1, Detail!$AA$1:$AL$1, 0)), Detail!$J:$J, $A8)</f>
        <v>84</v>
      </c>
      <c r="AM8" s="59">
        <f t="shared" si="11"/>
        <v>92</v>
      </c>
      <c r="AN8" s="58">
        <f>96*4</f>
        <v>384</v>
      </c>
      <c r="AO8" s="58">
        <f>SUMIFS(INDEX(Detail!$AA:$AL, 0, MATCH(AO$1, Detail!$AA$1:$AL$1, 0)), Detail!$J:$J, $A8)</f>
        <v>84</v>
      </c>
      <c r="AP8" s="58">
        <f t="shared" si="12"/>
        <v>392</v>
      </c>
      <c r="AQ8" s="59"/>
      <c r="AR8" s="59">
        <f>SUMIFS(INDEX(Detail!$AA:$AL, 0, MATCH(AR$1, Detail!$AA$1:$AL$1, 0)), Detail!$J:$J, $A8)</f>
        <v>84</v>
      </c>
      <c r="AS8" s="59">
        <f t="shared" si="13"/>
        <v>308</v>
      </c>
      <c r="AT8" s="59">
        <f>96*3</f>
        <v>288</v>
      </c>
      <c r="AU8" s="59">
        <f>SUMIFS(INDEX(Detail!$AA:$AN, 0, MATCH(AU$1, Detail!$AA$1:$AN$1, 0)), Detail!$J:$J, $A8)</f>
        <v>84</v>
      </c>
      <c r="AV8" s="59">
        <f t="shared" si="14"/>
        <v>512</v>
      </c>
      <c r="AW8" s="59"/>
      <c r="AX8" s="59">
        <f>SUMIFS(INDEX(Detail!$AA:$AN, 0, MATCH(AX$1, Detail!$AA$1:$AN$1, 0)), Detail!$J:$J, $A8)</f>
        <v>84</v>
      </c>
      <c r="AY8" s="59">
        <f t="shared" si="15"/>
        <v>428</v>
      </c>
    </row>
    <row r="9" spans="1:51" x14ac:dyDescent="0.35">
      <c r="A9" s="16" t="s">
        <v>399</v>
      </c>
      <c r="B9" s="16">
        <v>0</v>
      </c>
      <c r="C9" s="16">
        <f>INDEX(D9:AZ9, MATCH($C$2, $D$1:$AZ$1, 0))/VLOOKUP(A9,'DK đặt hàng'!A:C,3,FALSE)</f>
        <v>0</v>
      </c>
      <c r="D9" s="58"/>
      <c r="E9" s="58">
        <f>SUMIFS([4]!Table2[Feb.26],[4]!Table2[Sản phẩm],NXT!$A9)</f>
        <v>0</v>
      </c>
      <c r="F9" s="58">
        <f t="shared" si="0"/>
        <v>0</v>
      </c>
      <c r="G9" s="59"/>
      <c r="H9" s="59">
        <v>0</v>
      </c>
      <c r="I9" s="59">
        <f t="shared" si="1"/>
        <v>0</v>
      </c>
      <c r="J9" s="58"/>
      <c r="K9" s="58">
        <f>SUMIFS(INDEX(Detail!$AA:$AL, 0, MATCH(K$1, Detail!$AA$1:$AL$1, 0)), Detail!$J:$J, $A9)</f>
        <v>0</v>
      </c>
      <c r="L9" s="58">
        <f t="shared" si="2"/>
        <v>0</v>
      </c>
      <c r="M9" s="59"/>
      <c r="N9" s="59">
        <f>SUMIFS(INDEX(Detail!$AA:$AL, 0, MATCH(N$1, Detail!$AA$1:$AL$1, 0)), Detail!$J:$J, $A9)</f>
        <v>0</v>
      </c>
      <c r="O9" s="59">
        <f t="shared" si="3"/>
        <v>0</v>
      </c>
      <c r="P9" s="58"/>
      <c r="Q9" s="58">
        <f>SUMIFS(INDEX(Detail!$AA:$AL, 0, MATCH(Q$1, Detail!$AA$1:$AL$1, 0)), Detail!$J:$J, $A9)</f>
        <v>0</v>
      </c>
      <c r="R9" s="58">
        <f t="shared" si="4"/>
        <v>0</v>
      </c>
      <c r="S9" s="59"/>
      <c r="T9" s="59">
        <f>SUMIFS(INDEX(Detail!$AA:$AL, 0, MATCH(T$1, Detail!$AA$1:$AL$1, 0)), Detail!$J:$J, $A9)</f>
        <v>0</v>
      </c>
      <c r="U9" s="59">
        <f t="shared" si="5"/>
        <v>0</v>
      </c>
      <c r="V9" s="58"/>
      <c r="W9" s="58">
        <f>SUMIFS(INDEX(Detail!$AA:$AL, 0, MATCH(W$1, Detail!$AA$1:$AL$1, 0)), Detail!$J:$J, $A9)</f>
        <v>0</v>
      </c>
      <c r="X9" s="58">
        <f t="shared" si="6"/>
        <v>0</v>
      </c>
      <c r="Y9" s="59"/>
      <c r="Z9" s="59">
        <f>SUMIFS(INDEX(Detail!$AA:$AL, 0, MATCH(Z$1, Detail!$AA$1:$AL$1, 0)), Detail!$J:$J, $A9)</f>
        <v>0</v>
      </c>
      <c r="AA9" s="59">
        <f t="shared" si="7"/>
        <v>0</v>
      </c>
      <c r="AB9" s="58"/>
      <c r="AC9" s="58">
        <f>SUMIFS(INDEX(Detail!$AA:$AL, 0, MATCH(AC$1, Detail!$AA$1:$AL$1, 0)), Detail!$J:$J, $A9)</f>
        <v>0</v>
      </c>
      <c r="AD9" s="58">
        <f t="shared" si="8"/>
        <v>0</v>
      </c>
      <c r="AE9" s="59"/>
      <c r="AF9" s="59">
        <f>SUMIFS(INDEX(Detail!$AA:$AL, 0, MATCH(AF$1, Detail!$AA$1:$AL$1, 0)), Detail!$J:$J, $A9)</f>
        <v>0</v>
      </c>
      <c r="AG9" s="59">
        <f t="shared" si="9"/>
        <v>0</v>
      </c>
      <c r="AH9" s="58"/>
      <c r="AI9" s="58">
        <f>SUMIFS(INDEX(Detail!$AA:$AL, 0, MATCH(AI$1, Detail!$AA$1:$AL$1, 0)), Detail!$J:$J, $A9)</f>
        <v>0</v>
      </c>
      <c r="AJ9" s="58">
        <f t="shared" si="10"/>
        <v>0</v>
      </c>
      <c r="AK9" s="59"/>
      <c r="AL9" s="59">
        <f>SUMIFS(INDEX(Detail!$AA:$AL, 0, MATCH(AL$1, Detail!$AA$1:$AL$1, 0)), Detail!$J:$J, $A9)</f>
        <v>0</v>
      </c>
      <c r="AM9" s="59">
        <f t="shared" si="11"/>
        <v>0</v>
      </c>
      <c r="AN9" s="58"/>
      <c r="AO9" s="58">
        <f>SUMIFS(INDEX(Detail!$AA:$AL, 0, MATCH(AO$1, Detail!$AA$1:$AL$1, 0)), Detail!$J:$J, $A9)</f>
        <v>0</v>
      </c>
      <c r="AP9" s="58">
        <f t="shared" si="12"/>
        <v>0</v>
      </c>
      <c r="AQ9" s="59"/>
      <c r="AR9" s="59">
        <f>SUMIFS(INDEX(Detail!$AA:$AL, 0, MATCH(AR$1, Detail!$AA$1:$AL$1, 0)), Detail!$J:$J, $A9)</f>
        <v>0</v>
      </c>
      <c r="AS9" s="59">
        <f t="shared" si="13"/>
        <v>0</v>
      </c>
      <c r="AT9" s="59"/>
      <c r="AU9" s="59">
        <f>SUMIFS(INDEX(Detail!$AA:$AN, 0, MATCH(AU$1, Detail!$AA$1:$AN$1, 0)), Detail!$J:$J, $A9)</f>
        <v>0</v>
      </c>
      <c r="AV9" s="59">
        <f t="shared" si="14"/>
        <v>0</v>
      </c>
      <c r="AW9" s="59"/>
      <c r="AX9" s="59">
        <f>SUMIFS(INDEX(Detail!$AA:$AN, 0, MATCH(AX$1, Detail!$AA$1:$AN$1, 0)), Detail!$J:$J, $A9)</f>
        <v>0</v>
      </c>
      <c r="AY9" s="59">
        <f t="shared" si="15"/>
        <v>0</v>
      </c>
    </row>
    <row r="10" spans="1:51" x14ac:dyDescent="0.35">
      <c r="A10" s="16" t="s">
        <v>6</v>
      </c>
      <c r="B10" s="16">
        <v>252</v>
      </c>
      <c r="C10" s="16">
        <f>INDEX(D10:AZ10, MATCH($C$2, $D$1:$AZ$1, 0))/VLOOKUP(A10,'DK đặt hàng'!A:C,3,FALSE)</f>
        <v>3</v>
      </c>
      <c r="D10" s="58"/>
      <c r="E10" s="58">
        <f>SUMIFS([4]!Table2[Feb.26],[4]!Table2[Sản phẩm],NXT!$A10)</f>
        <v>0</v>
      </c>
      <c r="F10" s="58">
        <f t="shared" si="0"/>
        <v>252</v>
      </c>
      <c r="G10" s="59"/>
      <c r="H10" s="59">
        <v>0</v>
      </c>
      <c r="I10" s="59">
        <f t="shared" si="1"/>
        <v>252</v>
      </c>
      <c r="J10" s="58"/>
      <c r="K10" s="58">
        <f>SUMIFS(INDEX(Detail!$AA:$AL, 0, MATCH(K$1, Detail!$AA$1:$AL$1, 0)), Detail!$J:$J, $A10)</f>
        <v>0</v>
      </c>
      <c r="L10" s="58">
        <f t="shared" si="2"/>
        <v>252</v>
      </c>
      <c r="M10" s="59"/>
      <c r="N10" s="59">
        <f>SUMIFS(INDEX(Detail!$AA:$AL, 0, MATCH(N$1, Detail!$AA$1:$AL$1, 0)), Detail!$J:$J, $A10)</f>
        <v>0</v>
      </c>
      <c r="O10" s="59">
        <f t="shared" si="3"/>
        <v>252</v>
      </c>
      <c r="P10" s="58"/>
      <c r="Q10" s="58">
        <f>SUMIFS(INDEX(Detail!$AA:$AL, 0, MATCH(Q$1, Detail!$AA$1:$AL$1, 0)), Detail!$J:$J, $A10)</f>
        <v>0</v>
      </c>
      <c r="R10" s="58">
        <f t="shared" si="4"/>
        <v>252</v>
      </c>
      <c r="S10" s="59"/>
      <c r="T10" s="59">
        <f>SUMIFS(INDEX(Detail!$AA:$AL, 0, MATCH(T$1, Detail!$AA$1:$AL$1, 0)), Detail!$J:$J, $A10)</f>
        <v>0</v>
      </c>
      <c r="U10" s="59">
        <f t="shared" si="5"/>
        <v>252</v>
      </c>
      <c r="V10" s="58">
        <v>252</v>
      </c>
      <c r="W10" s="58">
        <f>SUMIFS(INDEX(Detail!$AA:$AL, 0, MATCH(W$1, Detail!$AA$1:$AL$1, 0)), Detail!$J:$J, $A10)</f>
        <v>59</v>
      </c>
      <c r="X10" s="58">
        <f t="shared" si="6"/>
        <v>445</v>
      </c>
      <c r="Y10" s="59"/>
      <c r="Z10" s="59">
        <f>SUMIFS(INDEX(Detail!$AA:$AL, 0, MATCH(Z$1, Detail!$AA$1:$AL$1, 0)), Detail!$J:$J, $A10)</f>
        <v>95</v>
      </c>
      <c r="AA10" s="59">
        <f t="shared" si="7"/>
        <v>350</v>
      </c>
      <c r="AB10" s="58">
        <f>252*3</f>
        <v>756</v>
      </c>
      <c r="AC10" s="58">
        <f>SUMIFS(INDEX(Detail!$AA:$AL, 0, MATCH(AC$1, Detail!$AA$1:$AL$1, 0)), Detail!$J:$J, $A10)</f>
        <v>337</v>
      </c>
      <c r="AD10" s="58">
        <f t="shared" si="8"/>
        <v>769</v>
      </c>
      <c r="AE10" s="59"/>
      <c r="AF10" s="59">
        <f>SUMIFS(INDEX(Detail!$AA:$AL, 0, MATCH(AF$1, Detail!$AA$1:$AL$1, 0)), Detail!$J:$J, $A10)</f>
        <v>340</v>
      </c>
      <c r="AG10" s="59">
        <f t="shared" si="9"/>
        <v>429</v>
      </c>
      <c r="AH10" s="58">
        <f>252*3</f>
        <v>756</v>
      </c>
      <c r="AI10" s="58">
        <f>SUMIFS(INDEX(Detail!$AA:$AL, 0, MATCH(AI$1, Detail!$AA$1:$AL$1, 0)), Detail!$J:$J, $A10)</f>
        <v>405</v>
      </c>
      <c r="AJ10" s="58">
        <f t="shared" si="10"/>
        <v>780</v>
      </c>
      <c r="AK10" s="59"/>
      <c r="AL10" s="59">
        <f>SUMIFS(INDEX(Detail!$AA:$AL, 0, MATCH(AL$1, Detail!$AA$1:$AL$1, 0)), Detail!$J:$J, $A10)</f>
        <v>405</v>
      </c>
      <c r="AM10" s="59">
        <f t="shared" si="11"/>
        <v>375</v>
      </c>
      <c r="AN10" s="58">
        <f>252*4</f>
        <v>1008</v>
      </c>
      <c r="AO10" s="58">
        <f>SUMIFS(INDEX(Detail!$AA:$AL, 0, MATCH(AO$1, Detail!$AA$1:$AL$1, 0)), Detail!$J:$J, $A10)</f>
        <v>405</v>
      </c>
      <c r="AP10" s="58">
        <f t="shared" si="12"/>
        <v>978</v>
      </c>
      <c r="AQ10" s="59"/>
      <c r="AR10" s="59">
        <f>SUMIFS(INDEX(Detail!$AA:$AL, 0, MATCH(AR$1, Detail!$AA$1:$AL$1, 0)), Detail!$J:$J, $A10)</f>
        <v>405</v>
      </c>
      <c r="AS10" s="59">
        <f t="shared" si="13"/>
        <v>573</v>
      </c>
      <c r="AT10" s="59">
        <f>252*3</f>
        <v>756</v>
      </c>
      <c r="AU10" s="59">
        <f>SUMIFS(INDEX(Detail!$AA:$AN, 0, MATCH(AU$1, Detail!$AA$1:$AN$1, 0)), Detail!$J:$J, $A10)</f>
        <v>405</v>
      </c>
      <c r="AV10" s="59">
        <f t="shared" si="14"/>
        <v>924</v>
      </c>
      <c r="AW10" s="59"/>
      <c r="AX10" s="59">
        <f>SUMIFS(INDEX(Detail!$AA:$AN, 0, MATCH(AX$1, Detail!$AA$1:$AN$1, 0)), Detail!$J:$J, $A10)</f>
        <v>405</v>
      </c>
      <c r="AY10" s="59">
        <f t="shared" si="15"/>
        <v>519</v>
      </c>
    </row>
    <row r="11" spans="1:51" x14ac:dyDescent="0.35">
      <c r="A11" s="16" t="s">
        <v>7</v>
      </c>
      <c r="B11" s="16">
        <v>192</v>
      </c>
      <c r="C11" s="16">
        <f>INDEX(D11:AZ11, MATCH($C$2, $D$1:$AZ$1, 0))/VLOOKUP(A11,'DK đặt hàng'!A:C,3,FALSE)</f>
        <v>4</v>
      </c>
      <c r="D11" s="58"/>
      <c r="E11" s="58">
        <f>SUMIFS([4]!Table2[Feb.26],[4]!Table2[Sản phẩm],NXT!$A11)</f>
        <v>0</v>
      </c>
      <c r="F11" s="58">
        <f t="shared" si="0"/>
        <v>192</v>
      </c>
      <c r="G11" s="59"/>
      <c r="H11" s="59">
        <v>0</v>
      </c>
      <c r="I11" s="59">
        <f t="shared" si="1"/>
        <v>192</v>
      </c>
      <c r="J11" s="58"/>
      <c r="K11" s="58">
        <f>SUMIFS(INDEX(Detail!$AA:$AL, 0, MATCH(K$1, Detail!$AA$1:$AL$1, 0)), Detail!$J:$J, $A11)</f>
        <v>0</v>
      </c>
      <c r="L11" s="58">
        <f t="shared" si="2"/>
        <v>192</v>
      </c>
      <c r="M11" s="59"/>
      <c r="N11" s="59">
        <f>SUMIFS(INDEX(Detail!$AA:$AL, 0, MATCH(N$1, Detail!$AA$1:$AL$1, 0)), Detail!$J:$J, $A11)</f>
        <v>0</v>
      </c>
      <c r="O11" s="59">
        <f t="shared" si="3"/>
        <v>192</v>
      </c>
      <c r="P11" s="58"/>
      <c r="Q11" s="58">
        <f>SUMIFS(INDEX(Detail!$AA:$AL, 0, MATCH(Q$1, Detail!$AA$1:$AL$1, 0)), Detail!$J:$J, $A11)</f>
        <v>0</v>
      </c>
      <c r="R11" s="58">
        <f t="shared" si="4"/>
        <v>192</v>
      </c>
      <c r="S11" s="59"/>
      <c r="T11" s="59">
        <f>SUMIFS(INDEX(Detail!$AA:$AL, 0, MATCH(T$1, Detail!$AA$1:$AL$1, 0)), Detail!$J:$J, $A11)</f>
        <v>0</v>
      </c>
      <c r="U11" s="59">
        <f t="shared" si="5"/>
        <v>192</v>
      </c>
      <c r="V11" s="58">
        <v>96</v>
      </c>
      <c r="W11" s="58">
        <f>SUMIFS(INDEX(Detail!$AA:$AL, 0, MATCH(W$1, Detail!$AA$1:$AL$1, 0)), Detail!$J:$J, $A11)</f>
        <v>63</v>
      </c>
      <c r="X11" s="58">
        <f t="shared" si="6"/>
        <v>225</v>
      </c>
      <c r="Y11" s="59"/>
      <c r="Z11" s="59">
        <f>SUMIFS(INDEX(Detail!$AA:$AL, 0, MATCH(Z$1, Detail!$AA$1:$AL$1, 0)), Detail!$J:$J, $A11)</f>
        <v>63</v>
      </c>
      <c r="AA11" s="59">
        <f t="shared" si="7"/>
        <v>162</v>
      </c>
      <c r="AB11" s="58">
        <f>96*3</f>
        <v>288</v>
      </c>
      <c r="AC11" s="58">
        <f>SUMIFS(INDEX(Detail!$AA:$AL, 0, MATCH(AC$1, Detail!$AA$1:$AL$1, 0)), Detail!$J:$J, $A11)</f>
        <v>63</v>
      </c>
      <c r="AD11" s="58">
        <f t="shared" si="8"/>
        <v>387</v>
      </c>
      <c r="AE11" s="59"/>
      <c r="AF11" s="59">
        <f>SUMIFS(INDEX(Detail!$AA:$AL, 0, MATCH(AF$1, Detail!$AA$1:$AL$1, 0)), Detail!$J:$J, $A11)</f>
        <v>147</v>
      </c>
      <c r="AG11" s="59">
        <f t="shared" si="9"/>
        <v>240</v>
      </c>
      <c r="AH11" s="58">
        <f>96*3</f>
        <v>288</v>
      </c>
      <c r="AI11" s="58">
        <f>SUMIFS(INDEX(Detail!$AA:$AL, 0, MATCH(AI$1, Detail!$AA$1:$AL$1, 0)), Detail!$J:$J, $A11)</f>
        <v>189</v>
      </c>
      <c r="AJ11" s="58">
        <f t="shared" si="10"/>
        <v>339</v>
      </c>
      <c r="AK11" s="59"/>
      <c r="AL11" s="59">
        <f>SUMIFS(INDEX(Detail!$AA:$AL, 0, MATCH(AL$1, Detail!$AA$1:$AL$1, 0)), Detail!$J:$J, $A11)</f>
        <v>189</v>
      </c>
      <c r="AM11" s="59">
        <f t="shared" si="11"/>
        <v>150</v>
      </c>
      <c r="AN11" s="58">
        <f>96*5</f>
        <v>480</v>
      </c>
      <c r="AO11" s="58">
        <f>SUMIFS(INDEX(Detail!$AA:$AL, 0, MATCH(AO$1, Detail!$AA$1:$AL$1, 0)), Detail!$J:$J, $A11)</f>
        <v>189</v>
      </c>
      <c r="AP11" s="58">
        <f t="shared" si="12"/>
        <v>441</v>
      </c>
      <c r="AQ11" s="59"/>
      <c r="AR11" s="59">
        <f>SUMIFS(INDEX(Detail!$AA:$AL, 0, MATCH(AR$1, Detail!$AA$1:$AL$1, 0)), Detail!$J:$J, $A11)</f>
        <v>189</v>
      </c>
      <c r="AS11" s="59">
        <f t="shared" si="13"/>
        <v>252</v>
      </c>
      <c r="AT11" s="59">
        <f>96*4</f>
        <v>384</v>
      </c>
      <c r="AU11" s="59">
        <f>SUMIFS(INDEX(Detail!$AA:$AN, 0, MATCH(AU$1, Detail!$AA$1:$AN$1, 0)), Detail!$J:$J, $A11)</f>
        <v>189</v>
      </c>
      <c r="AV11" s="59">
        <f t="shared" si="14"/>
        <v>447</v>
      </c>
      <c r="AW11" s="59"/>
      <c r="AX11" s="59">
        <f>SUMIFS(INDEX(Detail!$AA:$AN, 0, MATCH(AX$1, Detail!$AA$1:$AN$1, 0)), Detail!$J:$J, $A11)</f>
        <v>189</v>
      </c>
      <c r="AY11" s="59">
        <f t="shared" si="15"/>
        <v>258</v>
      </c>
    </row>
    <row r="12" spans="1:51" x14ac:dyDescent="0.35">
      <c r="A12" s="16" t="s">
        <v>5</v>
      </c>
      <c r="B12" s="16">
        <v>252</v>
      </c>
      <c r="C12" s="16">
        <f>INDEX(D12:AZ12, MATCH($C$2, $D$1:$AZ$1, 0))/VLOOKUP(A12,'DK đặt hàng'!A:C,3,FALSE)</f>
        <v>3</v>
      </c>
      <c r="D12" s="58"/>
      <c r="E12" s="58">
        <f>SUMIFS([4]!Table2[Feb.26],[4]!Table2[Sản phẩm],NXT!$A12)</f>
        <v>0</v>
      </c>
      <c r="F12" s="58">
        <f t="shared" si="0"/>
        <v>252</v>
      </c>
      <c r="G12" s="59"/>
      <c r="H12" s="59">
        <v>0</v>
      </c>
      <c r="I12" s="59">
        <f t="shared" si="1"/>
        <v>252</v>
      </c>
      <c r="J12" s="58"/>
      <c r="K12" s="58">
        <f>SUMIFS(INDEX(Detail!$AA:$AL, 0, MATCH(K$1, Detail!$AA$1:$AL$1, 0)), Detail!$J:$J, $A12)</f>
        <v>0</v>
      </c>
      <c r="L12" s="58">
        <f t="shared" si="2"/>
        <v>252</v>
      </c>
      <c r="M12" s="59"/>
      <c r="N12" s="59">
        <f>SUMIFS(INDEX(Detail!$AA:$AL, 0, MATCH(N$1, Detail!$AA$1:$AL$1, 0)), Detail!$J:$J, $A12)</f>
        <v>2</v>
      </c>
      <c r="O12" s="59">
        <f t="shared" si="3"/>
        <v>250</v>
      </c>
      <c r="P12" s="58"/>
      <c r="Q12" s="58">
        <f>SUMIFS(INDEX(Detail!$AA:$AL, 0, MATCH(Q$1, Detail!$AA$1:$AL$1, 0)), Detail!$J:$J, $A12)</f>
        <v>2</v>
      </c>
      <c r="R12" s="58">
        <f t="shared" si="4"/>
        <v>248</v>
      </c>
      <c r="S12" s="59"/>
      <c r="T12" s="59">
        <f>SUMIFS(INDEX(Detail!$AA:$AL, 0, MATCH(T$1, Detail!$AA$1:$AL$1, 0)), Detail!$J:$J, $A12)</f>
        <v>2</v>
      </c>
      <c r="U12" s="59">
        <f t="shared" si="5"/>
        <v>246</v>
      </c>
      <c r="V12" s="58"/>
      <c r="W12" s="58">
        <f>SUMIFS(INDEX(Detail!$AA:$AL, 0, MATCH(W$1, Detail!$AA$1:$AL$1, 0)), Detail!$J:$J, $A12)</f>
        <v>89</v>
      </c>
      <c r="X12" s="58">
        <f t="shared" si="6"/>
        <v>157</v>
      </c>
      <c r="Y12" s="59">
        <f>252*3</f>
        <v>756</v>
      </c>
      <c r="Z12" s="59">
        <f>SUMIFS(INDEX(Detail!$AA:$AL, 0, MATCH(Z$1, Detail!$AA$1:$AL$1, 0)), Detail!$J:$J, $A12)</f>
        <v>231</v>
      </c>
      <c r="AA12" s="59">
        <f t="shared" si="7"/>
        <v>682</v>
      </c>
      <c r="AB12" s="58">
        <f>252*3</f>
        <v>756</v>
      </c>
      <c r="AC12" s="58">
        <f>SUMIFS(INDEX(Detail!$AA:$AL, 0, MATCH(AC$1, Detail!$AA$1:$AL$1, 0)), Detail!$J:$J, $A12)</f>
        <v>286</v>
      </c>
      <c r="AD12" s="58">
        <f t="shared" si="8"/>
        <v>1152</v>
      </c>
      <c r="AE12" s="59"/>
      <c r="AF12" s="59">
        <f>SUMIFS(INDEX(Detail!$AA:$AL, 0, MATCH(AF$1, Detail!$AA$1:$AL$1, 0)), Detail!$J:$J, $A12)</f>
        <v>322</v>
      </c>
      <c r="AG12" s="59">
        <f t="shared" si="9"/>
        <v>830</v>
      </c>
      <c r="AH12" s="58">
        <f>252*4</f>
        <v>1008</v>
      </c>
      <c r="AI12" s="58">
        <f>SUMIFS(INDEX(Detail!$AA:$AL, 0, MATCH(AI$1, Detail!$AA$1:$AL$1, 0)), Detail!$J:$J, $A12)</f>
        <v>489</v>
      </c>
      <c r="AJ12" s="58">
        <f t="shared" si="10"/>
        <v>1349</v>
      </c>
      <c r="AK12" s="59"/>
      <c r="AL12" s="59">
        <f>SUMIFS(INDEX(Detail!$AA:$AL, 0, MATCH(AL$1, Detail!$AA$1:$AL$1, 0)), Detail!$J:$J, $A12)</f>
        <v>568</v>
      </c>
      <c r="AM12" s="59">
        <f t="shared" si="11"/>
        <v>781</v>
      </c>
      <c r="AN12" s="58">
        <f>252*4</f>
        <v>1008</v>
      </c>
      <c r="AO12" s="58">
        <f>SUMIFS(INDEX(Detail!$AA:$AL, 0, MATCH(AO$1, Detail!$AA$1:$AL$1, 0)), Detail!$J:$J, $A12)</f>
        <v>568</v>
      </c>
      <c r="AP12" s="58">
        <f t="shared" si="12"/>
        <v>1221</v>
      </c>
      <c r="AQ12" s="59"/>
      <c r="AR12" s="59">
        <f>SUMIFS(INDEX(Detail!$AA:$AL, 0, MATCH(AR$1, Detail!$AA$1:$AL$1, 0)), Detail!$J:$J, $A12)</f>
        <v>568</v>
      </c>
      <c r="AS12" s="59">
        <f t="shared" si="13"/>
        <v>653</v>
      </c>
      <c r="AT12" s="59">
        <f>252*3</f>
        <v>756</v>
      </c>
      <c r="AU12" s="59">
        <f>SUMIFS(INDEX(Detail!$AA:$AN, 0, MATCH(AU$1, Detail!$AA$1:$AN$1, 0)), Detail!$J:$J, $A12)</f>
        <v>568</v>
      </c>
      <c r="AV12" s="59">
        <f t="shared" si="14"/>
        <v>841</v>
      </c>
      <c r="AW12" s="59"/>
      <c r="AX12" s="59">
        <f>SUMIFS(INDEX(Detail!$AA:$AN, 0, MATCH(AX$1, Detail!$AA$1:$AN$1, 0)), Detail!$J:$J, $A12)</f>
        <v>568</v>
      </c>
      <c r="AY12" s="59">
        <f t="shared" si="15"/>
        <v>273</v>
      </c>
    </row>
    <row r="13" spans="1:51" x14ac:dyDescent="0.35">
      <c r="A13" s="16" t="s">
        <v>14</v>
      </c>
      <c r="B13" s="16">
        <v>192</v>
      </c>
      <c r="C13" s="16">
        <f>INDEX(D13:AZ13, MATCH($C$2, $D$1:$AZ$1, 0))/VLOOKUP(A13,'DK đặt hàng'!A:C,3,FALSE)</f>
        <v>0</v>
      </c>
      <c r="D13" s="58"/>
      <c r="E13" s="58">
        <f>SUMIFS([4]!Table2[Feb.26],[4]!Table2[Sản phẩm],NXT!$A13)</f>
        <v>0</v>
      </c>
      <c r="F13" s="58">
        <f t="shared" si="0"/>
        <v>192</v>
      </c>
      <c r="G13" s="59"/>
      <c r="H13" s="59">
        <v>0</v>
      </c>
      <c r="I13" s="59">
        <f t="shared" si="1"/>
        <v>192</v>
      </c>
      <c r="J13" s="58"/>
      <c r="K13" s="58">
        <f>SUMIFS(INDEX(Detail!$AA:$AL, 0, MATCH(K$1, Detail!$AA$1:$AL$1, 0)), Detail!$J:$J, $A13)</f>
        <v>0</v>
      </c>
      <c r="L13" s="58">
        <f t="shared" si="2"/>
        <v>192</v>
      </c>
      <c r="M13" s="59"/>
      <c r="N13" s="59">
        <f>SUMIFS(INDEX(Detail!$AA:$AL, 0, MATCH(N$1, Detail!$AA$1:$AL$1, 0)), Detail!$J:$J, $A13)</f>
        <v>0</v>
      </c>
      <c r="O13" s="59">
        <f t="shared" si="3"/>
        <v>192</v>
      </c>
      <c r="P13" s="58"/>
      <c r="Q13" s="58">
        <f>SUMIFS(INDEX(Detail!$AA:$AL, 0, MATCH(Q$1, Detail!$AA$1:$AL$1, 0)), Detail!$J:$J, $A13)</f>
        <v>0</v>
      </c>
      <c r="R13" s="58">
        <f t="shared" si="4"/>
        <v>192</v>
      </c>
      <c r="S13" s="59"/>
      <c r="T13" s="59">
        <f>SUMIFS(INDEX(Detail!$AA:$AL, 0, MATCH(T$1, Detail!$AA$1:$AL$1, 0)), Detail!$J:$J, $A13)</f>
        <v>0</v>
      </c>
      <c r="U13" s="59">
        <f t="shared" si="5"/>
        <v>192</v>
      </c>
      <c r="V13" s="58"/>
      <c r="W13" s="58">
        <f>SUMIFS(INDEX(Detail!$AA:$AL, 0, MATCH(W$1, Detail!$AA$1:$AL$1, 0)), Detail!$J:$J, $A13)</f>
        <v>6</v>
      </c>
      <c r="X13" s="58">
        <f t="shared" si="6"/>
        <v>186</v>
      </c>
      <c r="Y13" s="59"/>
      <c r="Z13" s="59">
        <f>SUMIFS(INDEX(Detail!$AA:$AL, 0, MATCH(Z$1, Detail!$AA$1:$AL$1, 0)), Detail!$J:$J, $A13)</f>
        <v>6</v>
      </c>
      <c r="AA13" s="59">
        <f t="shared" si="7"/>
        <v>180</v>
      </c>
      <c r="AB13" s="58"/>
      <c r="AC13" s="58">
        <f>SUMIFS(INDEX(Detail!$AA:$AL, 0, MATCH(AC$1, Detail!$AA$1:$AL$1, 0)), Detail!$J:$J, $A13)</f>
        <v>6</v>
      </c>
      <c r="AD13" s="58">
        <f t="shared" si="8"/>
        <v>174</v>
      </c>
      <c r="AE13" s="59"/>
      <c r="AF13" s="59">
        <f>SUMIFS(INDEX(Detail!$AA:$AL, 0, MATCH(AF$1, Detail!$AA$1:$AL$1, 0)), Detail!$J:$J, $A13)</f>
        <v>6</v>
      </c>
      <c r="AG13" s="59">
        <f t="shared" si="9"/>
        <v>168</v>
      </c>
      <c r="AH13" s="58"/>
      <c r="AI13" s="58">
        <f>SUMIFS(INDEX(Detail!$AA:$AL, 0, MATCH(AI$1, Detail!$AA$1:$AL$1, 0)), Detail!$J:$J, $A13)</f>
        <v>6</v>
      </c>
      <c r="AJ13" s="58">
        <f t="shared" si="10"/>
        <v>162</v>
      </c>
      <c r="AK13" s="59"/>
      <c r="AL13" s="59">
        <f>SUMIFS(INDEX(Detail!$AA:$AL, 0, MATCH(AL$1, Detail!$AA$1:$AL$1, 0)), Detail!$J:$J, $A13)</f>
        <v>6</v>
      </c>
      <c r="AM13" s="59">
        <f t="shared" si="11"/>
        <v>156</v>
      </c>
      <c r="AN13" s="58"/>
      <c r="AO13" s="58">
        <f>SUMIFS(INDEX(Detail!$AA:$AL, 0, MATCH(AO$1, Detail!$AA$1:$AL$1, 0)), Detail!$J:$J, $A13)</f>
        <v>6</v>
      </c>
      <c r="AP13" s="58">
        <f t="shared" si="12"/>
        <v>150</v>
      </c>
      <c r="AQ13" s="59"/>
      <c r="AR13" s="59">
        <f>SUMIFS(INDEX(Detail!$AA:$AL, 0, MATCH(AR$1, Detail!$AA$1:$AL$1, 0)), Detail!$J:$J, $A13)</f>
        <v>6</v>
      </c>
      <c r="AS13" s="59">
        <f t="shared" si="13"/>
        <v>144</v>
      </c>
      <c r="AT13" s="59"/>
      <c r="AU13" s="59">
        <f>SUMIFS(INDEX(Detail!$AA:$AN, 0, MATCH(AU$1, Detail!$AA$1:$AN$1, 0)), Detail!$J:$J, $A13)</f>
        <v>6</v>
      </c>
      <c r="AV13" s="59">
        <f t="shared" si="14"/>
        <v>138</v>
      </c>
      <c r="AW13" s="59"/>
      <c r="AX13" s="59">
        <f>SUMIFS(INDEX(Detail!$AA:$AN, 0, MATCH(AX$1, Detail!$AA$1:$AN$1, 0)), Detail!$J:$J, $A13)</f>
        <v>6</v>
      </c>
      <c r="AY13" s="59">
        <f t="shared" si="15"/>
        <v>132</v>
      </c>
    </row>
    <row r="14" spans="1:51" x14ac:dyDescent="0.35">
      <c r="A14" s="16" t="s">
        <v>4</v>
      </c>
      <c r="B14" s="16">
        <v>384</v>
      </c>
      <c r="C14" s="16">
        <f>INDEX(D14:AZ14, MATCH($C$2, $D$1:$AZ$1, 0))/VLOOKUP(A14,'DK đặt hàng'!A:C,3,FALSE)</f>
        <v>22</v>
      </c>
      <c r="D14" s="58"/>
      <c r="E14" s="58">
        <f>SUMIFS([4]!Table2[Feb.26],[4]!Table2[Sản phẩm],NXT!$A14)</f>
        <v>0</v>
      </c>
      <c r="F14" s="58">
        <f t="shared" si="0"/>
        <v>384</v>
      </c>
      <c r="G14" s="59"/>
      <c r="H14" s="60">
        <v>47</v>
      </c>
      <c r="I14" s="59">
        <f t="shared" si="1"/>
        <v>337</v>
      </c>
      <c r="J14" s="58"/>
      <c r="K14" s="58">
        <f>SUMIFS(INDEX(Detail!$AA:$AL, 0, MATCH(K$1, Detail!$AA$1:$AL$1, 0)), Detail!$J:$J, $A14)</f>
        <v>59</v>
      </c>
      <c r="L14" s="58">
        <f t="shared" si="2"/>
        <v>278</v>
      </c>
      <c r="M14" s="59"/>
      <c r="N14" s="59">
        <f>SUMIFS(INDEX(Detail!$AA:$AL, 0, MATCH(N$1, Detail!$AA$1:$AL$1, 0)), Detail!$J:$J, $A14)</f>
        <v>68</v>
      </c>
      <c r="O14" s="59">
        <f t="shared" si="3"/>
        <v>210</v>
      </c>
      <c r="P14" s="58"/>
      <c r="Q14" s="58">
        <f>SUMIFS(INDEX(Detail!$AA:$AL, 0, MATCH(Q$1, Detail!$AA$1:$AL$1, 0)), Detail!$J:$J, $A14)</f>
        <v>123</v>
      </c>
      <c r="R14" s="58">
        <f t="shared" si="4"/>
        <v>87</v>
      </c>
      <c r="S14" s="59"/>
      <c r="T14" s="59">
        <f>SUMIFS(INDEX(Detail!$AA:$AL, 0, MATCH(T$1, Detail!$AA$1:$AL$1, 0)), Detail!$J:$J, $A14)</f>
        <v>123</v>
      </c>
      <c r="U14" s="59">
        <f t="shared" si="5"/>
        <v>-36</v>
      </c>
      <c r="V14" s="58">
        <f>96*17</f>
        <v>1632</v>
      </c>
      <c r="W14" s="58">
        <f>SUMIFS(INDEX(Detail!$AA:$AL, 0, MATCH(W$1, Detail!$AA$1:$AL$1, 0)), Detail!$J:$J, $A14)</f>
        <v>329</v>
      </c>
      <c r="X14" s="58">
        <f t="shared" si="6"/>
        <v>1267</v>
      </c>
      <c r="Y14" s="59">
        <f>96*16</f>
        <v>1536</v>
      </c>
      <c r="Z14" s="59">
        <f>SUMIFS(INDEX(Detail!$AA:$AL, 0, MATCH(Z$1, Detail!$AA$1:$AL$1, 0)), Detail!$J:$J, $A14)</f>
        <v>354</v>
      </c>
      <c r="AA14" s="59">
        <f t="shared" si="7"/>
        <v>2449</v>
      </c>
      <c r="AB14" s="58">
        <v>96</v>
      </c>
      <c r="AC14" s="58">
        <f>SUMIFS(INDEX(Detail!$AA:$AL, 0, MATCH(AC$1, Detail!$AA$1:$AL$1, 0)), Detail!$J:$J, $A14)</f>
        <v>1080</v>
      </c>
      <c r="AD14" s="58">
        <f t="shared" si="8"/>
        <v>1465</v>
      </c>
      <c r="AE14" s="59">
        <f>96*22</f>
        <v>2112</v>
      </c>
      <c r="AF14" s="59">
        <f>SUMIFS(INDEX(Detail!$AA:$AL, 0, MATCH(AF$1, Detail!$AA$1:$AL$1, 0)), Detail!$J:$J, $A14)</f>
        <v>1106</v>
      </c>
      <c r="AG14" s="59">
        <f t="shared" si="9"/>
        <v>2471</v>
      </c>
      <c r="AH14" s="58"/>
      <c r="AI14" s="58">
        <f>SUMIFS(INDEX(Detail!$AA:$AL, 0, MATCH(AI$1, Detail!$AA$1:$AL$1, 0)), Detail!$J:$J, $A14)</f>
        <v>1138</v>
      </c>
      <c r="AJ14" s="58">
        <f t="shared" si="10"/>
        <v>1333</v>
      </c>
      <c r="AK14" s="59">
        <f>96*22</f>
        <v>2112</v>
      </c>
      <c r="AL14" s="59">
        <f>SUMIFS(INDEX(Detail!$AA:$AL, 0, MATCH(AL$1, Detail!$AA$1:$AL$1, 0)), Detail!$J:$J, $A14)</f>
        <v>1138</v>
      </c>
      <c r="AM14" s="59">
        <f t="shared" si="11"/>
        <v>2307</v>
      </c>
      <c r="AN14" s="58"/>
      <c r="AO14" s="58">
        <f>SUMIFS(INDEX(Detail!$AA:$AL, 0, MATCH(AO$1, Detail!$AA$1:$AL$1, 0)), Detail!$J:$J, $A14)</f>
        <v>1138</v>
      </c>
      <c r="AP14" s="58">
        <f t="shared" si="12"/>
        <v>1169</v>
      </c>
      <c r="AQ14" s="59">
        <f>96*22</f>
        <v>2112</v>
      </c>
      <c r="AR14" s="59">
        <f>SUMIFS(INDEX(Detail!$AA:$AL, 0, MATCH(AR$1, Detail!$AA$1:$AL$1, 0)), Detail!$J:$J, $A14)</f>
        <v>1138</v>
      </c>
      <c r="AS14" s="59">
        <f t="shared" si="13"/>
        <v>2143</v>
      </c>
      <c r="AT14" s="59">
        <f>96*22</f>
        <v>2112</v>
      </c>
      <c r="AU14" s="59">
        <f>SUMIFS(INDEX(Detail!$AA:$AN, 0, MATCH(AU$1, Detail!$AA$1:$AN$1, 0)), Detail!$J:$J, $A14)</f>
        <v>1138</v>
      </c>
      <c r="AV14" s="59">
        <f t="shared" si="14"/>
        <v>3117</v>
      </c>
      <c r="AW14" s="59"/>
      <c r="AX14" s="59">
        <f>SUMIFS(INDEX(Detail!$AA:$AN, 0, MATCH(AX$1, Detail!$AA$1:$AN$1, 0)), Detail!$J:$J, $A14)</f>
        <v>1138</v>
      </c>
      <c r="AY14" s="59">
        <f t="shared" si="15"/>
        <v>1979</v>
      </c>
    </row>
    <row r="15" spans="1:51" x14ac:dyDescent="0.35">
      <c r="A15" s="16" t="s">
        <v>11</v>
      </c>
      <c r="B15" s="16">
        <v>384</v>
      </c>
      <c r="C15" s="16">
        <f>INDEX(D15:AZ15, MATCH($C$2, $D$1:$AZ$1, 0))/VLOOKUP(A15,'DK đặt hàng'!A:C,3,FALSE)</f>
        <v>3</v>
      </c>
      <c r="D15" s="58"/>
      <c r="E15" s="58">
        <f>SUMIFS([4]!Table2[Feb.26],[4]!Table2[Sản phẩm],NXT!$A15)</f>
        <v>0</v>
      </c>
      <c r="F15" s="58">
        <f t="shared" si="0"/>
        <v>384</v>
      </c>
      <c r="G15" s="59"/>
      <c r="H15" s="59">
        <v>0</v>
      </c>
      <c r="I15" s="59">
        <f t="shared" si="1"/>
        <v>384</v>
      </c>
      <c r="J15" s="58"/>
      <c r="K15" s="58">
        <f>SUMIFS(INDEX(Detail!$AA:$AL, 0, MATCH(K$1, Detail!$AA$1:$AL$1, 0)), Detail!$J:$J, $A15)</f>
        <v>0</v>
      </c>
      <c r="L15" s="58">
        <f t="shared" si="2"/>
        <v>384</v>
      </c>
      <c r="M15" s="59"/>
      <c r="N15" s="59">
        <f>SUMIFS(INDEX(Detail!$AA:$AL, 0, MATCH(N$1, Detail!$AA$1:$AL$1, 0)), Detail!$J:$J, $A15)</f>
        <v>0</v>
      </c>
      <c r="O15" s="59">
        <f t="shared" si="3"/>
        <v>384</v>
      </c>
      <c r="P15" s="58"/>
      <c r="Q15" s="58">
        <f>SUMIFS(INDEX(Detail!$AA:$AL, 0, MATCH(Q$1, Detail!$AA$1:$AL$1, 0)), Detail!$J:$J, $A15)</f>
        <v>9</v>
      </c>
      <c r="R15" s="58">
        <f t="shared" si="4"/>
        <v>375</v>
      </c>
      <c r="S15" s="59"/>
      <c r="T15" s="59">
        <f>SUMIFS(INDEX(Detail!$AA:$AL, 0, MATCH(T$1, Detail!$AA$1:$AL$1, 0)), Detail!$J:$J, $A15)</f>
        <v>9</v>
      </c>
      <c r="U15" s="59">
        <f t="shared" si="5"/>
        <v>366</v>
      </c>
      <c r="V15" s="58"/>
      <c r="W15" s="58">
        <f>SUMIFS(INDEX(Detail!$AA:$AL, 0, MATCH(W$1, Detail!$AA$1:$AL$1, 0)), Detail!$J:$J, $A15)</f>
        <v>23</v>
      </c>
      <c r="X15" s="58">
        <f t="shared" si="6"/>
        <v>343</v>
      </c>
      <c r="Y15" s="59"/>
      <c r="Z15" s="59">
        <f>SUMIFS(INDEX(Detail!$AA:$AL, 0, MATCH(Z$1, Detail!$AA$1:$AL$1, 0)), Detail!$J:$J, $A15)</f>
        <v>30</v>
      </c>
      <c r="AA15" s="59">
        <f t="shared" si="7"/>
        <v>313</v>
      </c>
      <c r="AB15" s="58">
        <f>96*5</f>
        <v>480</v>
      </c>
      <c r="AC15" s="58">
        <f>SUMIFS(INDEX(Detail!$AA:$AL, 0, MATCH(AC$1, Detail!$AA$1:$AL$1, 0)), Detail!$J:$J, $A15)</f>
        <v>107</v>
      </c>
      <c r="AD15" s="58">
        <f t="shared" si="8"/>
        <v>686</v>
      </c>
      <c r="AE15" s="59"/>
      <c r="AF15" s="59">
        <f>SUMIFS(INDEX(Detail!$AA:$AL, 0, MATCH(AF$1, Detail!$AA$1:$AL$1, 0)), Detail!$J:$J, $A15)</f>
        <v>135</v>
      </c>
      <c r="AG15" s="59">
        <f t="shared" si="9"/>
        <v>551</v>
      </c>
      <c r="AH15" s="58">
        <f>96*5</f>
        <v>480</v>
      </c>
      <c r="AI15" s="58">
        <f>SUMIFS(INDEX(Detail!$AA:$AL, 0, MATCH(AI$1, Detail!$AA$1:$AL$1, 0)), Detail!$J:$J, $A15)</f>
        <v>376</v>
      </c>
      <c r="AJ15" s="58">
        <f t="shared" si="10"/>
        <v>655</v>
      </c>
      <c r="AK15" s="59"/>
      <c r="AL15" s="59">
        <f>SUMIFS(INDEX(Detail!$AA:$AL, 0, MATCH(AL$1, Detail!$AA$1:$AL$1, 0)), Detail!$J:$J, $A15)</f>
        <v>426</v>
      </c>
      <c r="AM15" s="59">
        <f t="shared" si="11"/>
        <v>229</v>
      </c>
      <c r="AN15" s="58">
        <f>96*15</f>
        <v>1440</v>
      </c>
      <c r="AO15" s="58">
        <f>SUMIFS(INDEX(Detail!$AA:$AL, 0, MATCH(AO$1, Detail!$AA$1:$AL$1, 0)), Detail!$J:$J, $A15)</f>
        <v>426</v>
      </c>
      <c r="AP15" s="58">
        <f t="shared" si="12"/>
        <v>1243</v>
      </c>
      <c r="AQ15" s="59"/>
      <c r="AR15" s="59">
        <f>SUMIFS(INDEX(Detail!$AA:$AL, 0, MATCH(AR$1, Detail!$AA$1:$AL$1, 0)), Detail!$J:$J, $A15)</f>
        <v>426</v>
      </c>
      <c r="AS15" s="59">
        <f t="shared" si="13"/>
        <v>817</v>
      </c>
      <c r="AT15" s="59">
        <f>96*3</f>
        <v>288</v>
      </c>
      <c r="AU15" s="59">
        <f>SUMIFS(INDEX(Detail!$AA:$AN, 0, MATCH(AU$1, Detail!$AA$1:$AN$1, 0)), Detail!$J:$J, $A15)</f>
        <v>426</v>
      </c>
      <c r="AV15" s="59">
        <f t="shared" si="14"/>
        <v>679</v>
      </c>
      <c r="AW15" s="59"/>
      <c r="AX15" s="59">
        <f>SUMIFS(INDEX(Detail!$AA:$AN, 0, MATCH(AX$1, Detail!$AA$1:$AN$1, 0)), Detail!$J:$J, $A15)</f>
        <v>426</v>
      </c>
      <c r="AY15" s="59">
        <f t="shared" si="15"/>
        <v>253</v>
      </c>
    </row>
    <row r="16" spans="1:51" x14ac:dyDescent="0.35">
      <c r="C16">
        <f>SUM(C3:C15)</f>
        <v>44</v>
      </c>
    </row>
  </sheetData>
  <mergeCells count="2">
    <mergeCell ref="D1:F1"/>
    <mergeCell ref="G1:I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D5026-3C96-4416-A17A-A9EB6EA27AF0}">
  <dimension ref="A1:K18"/>
  <sheetViews>
    <sheetView workbookViewId="0">
      <selection activeCell="D4" sqref="D4"/>
    </sheetView>
  </sheetViews>
  <sheetFormatPr defaultRowHeight="14.5" x14ac:dyDescent="0.35"/>
  <cols>
    <col min="1" max="1" width="4.6328125" bestFit="1" customWidth="1"/>
    <col min="2" max="2" width="16.6328125" bestFit="1" customWidth="1"/>
    <col min="3" max="3" width="15" customWidth="1"/>
    <col min="4" max="4" width="8.453125" bestFit="1" customWidth="1"/>
    <col min="5" max="5" width="8.36328125" bestFit="1" customWidth="1"/>
    <col min="6" max="6" width="13.26953125" customWidth="1"/>
    <col min="7" max="7" width="13.81640625" bestFit="1" customWidth="1"/>
    <col min="8" max="8" width="14.6328125" hidden="1" customWidth="1"/>
    <col min="9" max="10" width="9.90625" hidden="1" customWidth="1"/>
    <col min="11" max="11" width="9.36328125" bestFit="1" customWidth="1"/>
  </cols>
  <sheetData>
    <row r="1" spans="1:11" ht="28" x14ac:dyDescent="0.35">
      <c r="A1" s="10" t="s">
        <v>67</v>
      </c>
      <c r="B1" s="10" t="s">
        <v>68</v>
      </c>
      <c r="C1" s="11" t="s">
        <v>69</v>
      </c>
      <c r="D1" s="11" t="s">
        <v>70</v>
      </c>
      <c r="E1" s="10" t="s">
        <v>71</v>
      </c>
      <c r="F1" s="10" t="s">
        <v>72</v>
      </c>
      <c r="G1" s="10" t="s">
        <v>73</v>
      </c>
      <c r="H1" s="11" t="s">
        <v>74</v>
      </c>
      <c r="I1" s="10" t="s">
        <v>75</v>
      </c>
      <c r="J1" s="10" t="s">
        <v>76</v>
      </c>
      <c r="K1" s="10" t="s">
        <v>77</v>
      </c>
    </row>
    <row r="2" spans="1:11" ht="28" x14ac:dyDescent="0.35">
      <c r="A2" s="5">
        <v>1</v>
      </c>
      <c r="B2" s="6" t="s">
        <v>78</v>
      </c>
      <c r="C2" s="6" t="s">
        <v>79</v>
      </c>
      <c r="D2" s="5" t="s">
        <v>80</v>
      </c>
      <c r="E2" s="5">
        <v>421024</v>
      </c>
      <c r="F2" s="5" t="s">
        <v>81</v>
      </c>
      <c r="G2" s="12" t="s">
        <v>82</v>
      </c>
      <c r="H2" s="5">
        <v>50</v>
      </c>
      <c r="I2" s="5">
        <v>1</v>
      </c>
      <c r="J2" s="12"/>
      <c r="K2" s="13">
        <f>H2-SUM(I2:J2)</f>
        <v>49</v>
      </c>
    </row>
    <row r="3" spans="1:11" ht="28" x14ac:dyDescent="0.35">
      <c r="A3" s="5">
        <v>2</v>
      </c>
      <c r="B3" s="6" t="s">
        <v>83</v>
      </c>
      <c r="C3" s="6" t="s">
        <v>79</v>
      </c>
      <c r="D3" s="5" t="s">
        <v>84</v>
      </c>
      <c r="E3" s="5">
        <v>4210242</v>
      </c>
      <c r="F3" s="7" t="s">
        <v>85</v>
      </c>
      <c r="G3" s="12" t="s">
        <v>82</v>
      </c>
      <c r="H3" s="5">
        <v>50</v>
      </c>
      <c r="I3" s="5">
        <v>1</v>
      </c>
      <c r="J3" s="12"/>
      <c r="K3" s="13">
        <f t="shared" ref="K3:K18" si="0">H3-SUM(I3:J3)</f>
        <v>49</v>
      </c>
    </row>
    <row r="4" spans="1:11" ht="28" x14ac:dyDescent="0.35">
      <c r="A4" s="5">
        <v>3</v>
      </c>
      <c r="B4" s="6" t="s">
        <v>86</v>
      </c>
      <c r="C4" s="6" t="s">
        <v>87</v>
      </c>
      <c r="D4" s="5" t="s">
        <v>88</v>
      </c>
      <c r="E4" s="5" t="s">
        <v>89</v>
      </c>
      <c r="F4" s="8">
        <v>46123</v>
      </c>
      <c r="G4" s="12" t="s">
        <v>90</v>
      </c>
      <c r="H4" s="5">
        <v>288</v>
      </c>
      <c r="I4" s="5">
        <v>12</v>
      </c>
      <c r="J4" s="12"/>
      <c r="K4" s="13">
        <f t="shared" si="0"/>
        <v>276</v>
      </c>
    </row>
    <row r="5" spans="1:11" ht="28" x14ac:dyDescent="0.35">
      <c r="A5" s="5">
        <v>4</v>
      </c>
      <c r="B5" s="14" t="s">
        <v>91</v>
      </c>
      <c r="C5" s="6" t="s">
        <v>92</v>
      </c>
      <c r="D5" s="5" t="s">
        <v>93</v>
      </c>
      <c r="E5" s="5" t="s">
        <v>94</v>
      </c>
      <c r="F5" s="7" t="s">
        <v>95</v>
      </c>
      <c r="G5" s="12" t="s">
        <v>96</v>
      </c>
      <c r="H5" s="5">
        <v>64</v>
      </c>
      <c r="I5" s="5"/>
      <c r="J5" s="12"/>
      <c r="K5" s="13">
        <f t="shared" si="0"/>
        <v>64</v>
      </c>
    </row>
    <row r="6" spans="1:11" ht="28" x14ac:dyDescent="0.35">
      <c r="A6" s="5"/>
      <c r="B6" s="14"/>
      <c r="C6" s="6" t="s">
        <v>92</v>
      </c>
      <c r="D6" s="5"/>
      <c r="E6" s="5" t="s">
        <v>97</v>
      </c>
      <c r="F6" s="9">
        <v>46665</v>
      </c>
      <c r="G6" s="12" t="s">
        <v>96</v>
      </c>
      <c r="H6" s="5">
        <v>128</v>
      </c>
      <c r="I6" s="5"/>
      <c r="J6" s="12"/>
      <c r="K6" s="13">
        <f t="shared" si="0"/>
        <v>128</v>
      </c>
    </row>
    <row r="7" spans="1:11" ht="42" x14ac:dyDescent="0.35">
      <c r="A7" s="5">
        <v>5</v>
      </c>
      <c r="B7" s="6" t="s">
        <v>98</v>
      </c>
      <c r="C7" s="6" t="s">
        <v>99</v>
      </c>
      <c r="D7" s="5" t="s">
        <v>100</v>
      </c>
      <c r="E7" s="5" t="s">
        <v>101</v>
      </c>
      <c r="F7" s="9">
        <v>46635</v>
      </c>
      <c r="G7" s="12" t="s">
        <v>90</v>
      </c>
      <c r="H7" s="5">
        <v>360</v>
      </c>
      <c r="I7" s="5">
        <v>12</v>
      </c>
      <c r="J7" s="12"/>
      <c r="K7" s="13">
        <f t="shared" si="0"/>
        <v>348</v>
      </c>
    </row>
    <row r="8" spans="1:11" ht="28" x14ac:dyDescent="0.35">
      <c r="A8" s="5">
        <v>6</v>
      </c>
      <c r="B8" s="6" t="s">
        <v>102</v>
      </c>
      <c r="C8" s="6" t="s">
        <v>103</v>
      </c>
      <c r="D8" s="5" t="s">
        <v>104</v>
      </c>
      <c r="E8" s="5" t="s">
        <v>105</v>
      </c>
      <c r="F8" s="5" t="s">
        <v>106</v>
      </c>
      <c r="G8" s="12" t="s">
        <v>107</v>
      </c>
      <c r="H8" s="5">
        <v>360</v>
      </c>
      <c r="I8" s="5">
        <v>12</v>
      </c>
      <c r="J8" s="12"/>
      <c r="K8" s="13">
        <f t="shared" si="0"/>
        <v>348</v>
      </c>
    </row>
    <row r="9" spans="1:11" ht="42" x14ac:dyDescent="0.35">
      <c r="A9" s="5">
        <v>7</v>
      </c>
      <c r="B9" s="14" t="s">
        <v>108</v>
      </c>
      <c r="C9" s="6" t="s">
        <v>109</v>
      </c>
      <c r="D9" s="5" t="s">
        <v>110</v>
      </c>
      <c r="E9" s="5" t="s">
        <v>111</v>
      </c>
      <c r="F9" s="9">
        <v>46451</v>
      </c>
      <c r="G9" s="12" t="s">
        <v>90</v>
      </c>
      <c r="H9" s="5">
        <v>60</v>
      </c>
      <c r="I9" s="5">
        <v>6</v>
      </c>
      <c r="J9" s="12"/>
      <c r="K9" s="13">
        <f t="shared" si="0"/>
        <v>54</v>
      </c>
    </row>
    <row r="10" spans="1:11" ht="42" x14ac:dyDescent="0.35">
      <c r="A10" s="5"/>
      <c r="B10" s="14"/>
      <c r="C10" s="6" t="s">
        <v>109</v>
      </c>
      <c r="D10" s="5"/>
      <c r="E10" s="5" t="s">
        <v>112</v>
      </c>
      <c r="F10" s="9">
        <v>46636</v>
      </c>
      <c r="G10" s="12" t="s">
        <v>90</v>
      </c>
      <c r="H10" s="5">
        <v>192</v>
      </c>
      <c r="I10" s="5"/>
      <c r="J10" s="12"/>
      <c r="K10" s="13">
        <f t="shared" si="0"/>
        <v>192</v>
      </c>
    </row>
    <row r="11" spans="1:11" ht="42" x14ac:dyDescent="0.35">
      <c r="A11" s="5">
        <v>8</v>
      </c>
      <c r="B11" s="6" t="s">
        <v>113</v>
      </c>
      <c r="C11" s="6" t="s">
        <v>109</v>
      </c>
      <c r="D11" s="5" t="s">
        <v>114</v>
      </c>
      <c r="E11" s="5" t="s">
        <v>115</v>
      </c>
      <c r="F11" s="9">
        <v>46692</v>
      </c>
      <c r="G11" s="12" t="s">
        <v>90</v>
      </c>
      <c r="H11" s="5">
        <v>252</v>
      </c>
      <c r="I11" s="5">
        <v>6</v>
      </c>
      <c r="J11" s="12"/>
      <c r="K11" s="13">
        <f t="shared" si="0"/>
        <v>246</v>
      </c>
    </row>
    <row r="12" spans="1:11" ht="42" x14ac:dyDescent="0.35">
      <c r="A12" s="5">
        <v>9</v>
      </c>
      <c r="B12" s="6" t="s">
        <v>116</v>
      </c>
      <c r="C12" s="6" t="s">
        <v>109</v>
      </c>
      <c r="D12" s="5" t="s">
        <v>117</v>
      </c>
      <c r="E12" s="5" t="s">
        <v>118</v>
      </c>
      <c r="F12" s="5" t="s">
        <v>119</v>
      </c>
      <c r="G12" s="12" t="s">
        <v>90</v>
      </c>
      <c r="H12" s="5">
        <v>252</v>
      </c>
      <c r="I12" s="5">
        <v>6</v>
      </c>
      <c r="J12" s="12"/>
      <c r="K12" s="13">
        <f t="shared" si="0"/>
        <v>246</v>
      </c>
    </row>
    <row r="13" spans="1:11" ht="42" x14ac:dyDescent="0.35">
      <c r="A13" s="5">
        <v>10</v>
      </c>
      <c r="B13" s="6" t="s">
        <v>120</v>
      </c>
      <c r="C13" s="6" t="s">
        <v>121</v>
      </c>
      <c r="D13" s="5" t="s">
        <v>122</v>
      </c>
      <c r="E13" s="5" t="s">
        <v>123</v>
      </c>
      <c r="F13" s="5" t="s">
        <v>124</v>
      </c>
      <c r="G13" s="12" t="s">
        <v>96</v>
      </c>
      <c r="H13" s="5">
        <v>192</v>
      </c>
      <c r="I13" s="5"/>
      <c r="J13" s="12"/>
      <c r="K13" s="13">
        <f t="shared" si="0"/>
        <v>192</v>
      </c>
    </row>
    <row r="14" spans="1:11" ht="42" x14ac:dyDescent="0.35">
      <c r="A14" s="5">
        <v>11</v>
      </c>
      <c r="B14" s="6" t="s">
        <v>125</v>
      </c>
      <c r="C14" s="6" t="s">
        <v>121</v>
      </c>
      <c r="D14" s="5" t="s">
        <v>126</v>
      </c>
      <c r="E14" s="5" t="s">
        <v>127</v>
      </c>
      <c r="F14" s="9">
        <v>46451</v>
      </c>
      <c r="G14" s="12" t="s">
        <v>96</v>
      </c>
      <c r="H14" s="5">
        <v>192</v>
      </c>
      <c r="I14" s="5"/>
      <c r="J14" s="12"/>
      <c r="K14" s="13">
        <f t="shared" si="0"/>
        <v>192</v>
      </c>
    </row>
    <row r="15" spans="1:11" ht="42" x14ac:dyDescent="0.35">
      <c r="A15" s="5">
        <v>12</v>
      </c>
      <c r="B15" s="6" t="s">
        <v>128</v>
      </c>
      <c r="C15" s="6" t="s">
        <v>121</v>
      </c>
      <c r="D15" s="5" t="s">
        <v>129</v>
      </c>
      <c r="E15" s="5" t="s">
        <v>130</v>
      </c>
      <c r="F15" s="5" t="s">
        <v>131</v>
      </c>
      <c r="G15" s="12" t="s">
        <v>96</v>
      </c>
      <c r="H15" s="5">
        <v>192</v>
      </c>
      <c r="I15" s="15">
        <v>1</v>
      </c>
      <c r="J15" s="12">
        <v>1</v>
      </c>
      <c r="K15" s="13">
        <f t="shared" si="0"/>
        <v>190</v>
      </c>
    </row>
    <row r="16" spans="1:11" ht="28" x14ac:dyDescent="0.35">
      <c r="A16" s="5">
        <v>13</v>
      </c>
      <c r="B16" s="14" t="s">
        <v>132</v>
      </c>
      <c r="C16" s="6" t="s">
        <v>92</v>
      </c>
      <c r="D16" s="5" t="s">
        <v>133</v>
      </c>
      <c r="E16" s="5" t="s">
        <v>134</v>
      </c>
      <c r="F16" s="5" t="s">
        <v>135</v>
      </c>
      <c r="G16" s="12" t="s">
        <v>96</v>
      </c>
      <c r="H16" s="5">
        <v>256</v>
      </c>
      <c r="I16" s="5">
        <v>4</v>
      </c>
      <c r="J16" s="12"/>
      <c r="K16" s="13">
        <f t="shared" si="0"/>
        <v>252</v>
      </c>
    </row>
    <row r="17" spans="1:11" ht="28" x14ac:dyDescent="0.35">
      <c r="A17" s="5"/>
      <c r="B17" s="14"/>
      <c r="C17" s="6" t="s">
        <v>92</v>
      </c>
      <c r="D17" s="5"/>
      <c r="E17" s="5" t="s">
        <v>136</v>
      </c>
      <c r="F17" s="9">
        <v>46696</v>
      </c>
      <c r="G17" s="12" t="s">
        <v>96</v>
      </c>
      <c r="H17" s="5">
        <v>128</v>
      </c>
      <c r="I17" s="5"/>
      <c r="J17" s="12"/>
      <c r="K17" s="13">
        <f t="shared" si="0"/>
        <v>128</v>
      </c>
    </row>
    <row r="18" spans="1:11" ht="28" x14ac:dyDescent="0.35">
      <c r="A18" s="5">
        <v>14</v>
      </c>
      <c r="B18" s="6" t="s">
        <v>137</v>
      </c>
      <c r="C18" s="6" t="s">
        <v>92</v>
      </c>
      <c r="D18" s="5" t="s">
        <v>138</v>
      </c>
      <c r="E18" s="5" t="s">
        <v>139</v>
      </c>
      <c r="F18" s="9">
        <v>46726</v>
      </c>
      <c r="G18" s="12" t="s">
        <v>96</v>
      </c>
      <c r="H18" s="5">
        <v>384</v>
      </c>
      <c r="I18" s="5">
        <f>4</f>
        <v>4</v>
      </c>
      <c r="J18" s="12">
        <v>4</v>
      </c>
      <c r="K18" s="13">
        <f t="shared" si="0"/>
        <v>376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2AB7-7BD6-4BBE-877C-32A20D9D7141}">
  <dimension ref="A1:B127"/>
  <sheetViews>
    <sheetView workbookViewId="0">
      <selection activeCell="B16" sqref="B16"/>
    </sheetView>
  </sheetViews>
  <sheetFormatPr defaultRowHeight="14.5" x14ac:dyDescent="0.35"/>
  <cols>
    <col min="1" max="1" width="50.36328125" bestFit="1" customWidth="1"/>
    <col min="2" max="2" width="23.90625" bestFit="1" customWidth="1"/>
  </cols>
  <sheetData>
    <row r="1" spans="1:2" x14ac:dyDescent="0.35">
      <c r="A1" s="3" t="s">
        <v>0</v>
      </c>
      <c r="B1" t="s">
        <v>1</v>
      </c>
    </row>
    <row r="3" spans="1:2" x14ac:dyDescent="0.35">
      <c r="A3" s="3" t="s">
        <v>2</v>
      </c>
      <c r="B3" t="s">
        <v>3</v>
      </c>
    </row>
    <row r="4" spans="1:2" x14ac:dyDescent="0.35">
      <c r="A4" s="1" t="s">
        <v>4</v>
      </c>
      <c r="B4" s="2">
        <v>3158943666.6666665</v>
      </c>
    </row>
    <row r="5" spans="1:2" x14ac:dyDescent="0.35">
      <c r="A5" s="4" t="s">
        <v>17</v>
      </c>
      <c r="B5" s="2">
        <v>686000000</v>
      </c>
    </row>
    <row r="6" spans="1:2" x14ac:dyDescent="0.35">
      <c r="A6" s="4" t="s">
        <v>18</v>
      </c>
      <c r="B6" s="2">
        <v>13720000</v>
      </c>
    </row>
    <row r="7" spans="1:2" x14ac:dyDescent="0.35">
      <c r="A7" s="4" t="s">
        <v>19</v>
      </c>
      <c r="B7" s="2">
        <v>357000000</v>
      </c>
    </row>
    <row r="8" spans="1:2" x14ac:dyDescent="0.35">
      <c r="A8" s="4" t="s">
        <v>20</v>
      </c>
      <c r="B8" s="2">
        <v>238000000</v>
      </c>
    </row>
    <row r="9" spans="1:2" x14ac:dyDescent="0.35">
      <c r="A9" s="4" t="s">
        <v>21</v>
      </c>
      <c r="B9" s="2">
        <v>2482666.6666666665</v>
      </c>
    </row>
    <row r="10" spans="1:2" x14ac:dyDescent="0.35">
      <c r="A10" s="4" t="s">
        <v>22</v>
      </c>
      <c r="B10" s="2">
        <v>40833333.333333336</v>
      </c>
    </row>
    <row r="11" spans="1:2" x14ac:dyDescent="0.35">
      <c r="A11" s="4" t="s">
        <v>23</v>
      </c>
      <c r="B11" s="2">
        <v>61250000</v>
      </c>
    </row>
    <row r="12" spans="1:2" x14ac:dyDescent="0.35">
      <c r="A12" s="4" t="s">
        <v>24</v>
      </c>
      <c r="B12" s="2">
        <v>32666666.666666668</v>
      </c>
    </row>
    <row r="13" spans="1:2" x14ac:dyDescent="0.35">
      <c r="A13" s="4" t="s">
        <v>25</v>
      </c>
      <c r="B13" s="2">
        <v>57893500</v>
      </c>
    </row>
    <row r="14" spans="1:2" x14ac:dyDescent="0.35">
      <c r="A14" s="4" t="s">
        <v>26</v>
      </c>
      <c r="B14" s="2">
        <v>49000000</v>
      </c>
    </row>
    <row r="15" spans="1:2" x14ac:dyDescent="0.35">
      <c r="A15" s="4" t="s">
        <v>27</v>
      </c>
      <c r="B15" s="2">
        <v>40833333.333333336</v>
      </c>
    </row>
    <row r="16" spans="1:2" x14ac:dyDescent="0.35">
      <c r="A16" s="4" t="s">
        <v>28</v>
      </c>
      <c r="B16" s="2">
        <v>65450000</v>
      </c>
    </row>
    <row r="17" spans="1:2" x14ac:dyDescent="0.35">
      <c r="A17" s="4" t="s">
        <v>29</v>
      </c>
      <c r="B17" s="2">
        <v>816666.66666666663</v>
      </c>
    </row>
    <row r="18" spans="1:2" x14ac:dyDescent="0.35">
      <c r="A18" s="4" t="s">
        <v>30</v>
      </c>
      <c r="B18" s="2">
        <v>142590000</v>
      </c>
    </row>
    <row r="19" spans="1:2" x14ac:dyDescent="0.35">
      <c r="A19" s="4" t="s">
        <v>31</v>
      </c>
      <c r="B19" s="2">
        <v>65333333.333333336</v>
      </c>
    </row>
    <row r="20" spans="1:2" x14ac:dyDescent="0.35">
      <c r="A20" s="4" t="s">
        <v>32</v>
      </c>
      <c r="B20" s="2">
        <v>258720000</v>
      </c>
    </row>
    <row r="21" spans="1:2" x14ac:dyDescent="0.35">
      <c r="A21" s="4" t="s">
        <v>33</v>
      </c>
      <c r="B21" s="2">
        <v>617400000</v>
      </c>
    </row>
    <row r="22" spans="1:2" x14ac:dyDescent="0.35">
      <c r="A22" s="4" t="s">
        <v>34</v>
      </c>
      <c r="B22" s="2">
        <v>9146666.666666666</v>
      </c>
    </row>
    <row r="23" spans="1:2" x14ac:dyDescent="0.35">
      <c r="A23" s="4" t="s">
        <v>35</v>
      </c>
      <c r="B23" s="2">
        <v>98000000</v>
      </c>
    </row>
    <row r="24" spans="1:2" x14ac:dyDescent="0.35">
      <c r="A24" s="4" t="s">
        <v>36</v>
      </c>
      <c r="B24" s="2">
        <v>269500000</v>
      </c>
    </row>
    <row r="25" spans="1:2" x14ac:dyDescent="0.35">
      <c r="A25" s="4" t="s">
        <v>37</v>
      </c>
      <c r="B25" s="2">
        <v>22907500</v>
      </c>
    </row>
    <row r="26" spans="1:2" x14ac:dyDescent="0.35">
      <c r="A26" s="4" t="s">
        <v>38</v>
      </c>
      <c r="B26" s="2">
        <v>29400000</v>
      </c>
    </row>
    <row r="27" spans="1:2" x14ac:dyDescent="0.35">
      <c r="A27" s="1" t="s">
        <v>5</v>
      </c>
      <c r="B27" s="2">
        <v>1673934333.3333333</v>
      </c>
    </row>
    <row r="28" spans="1:2" x14ac:dyDescent="0.35">
      <c r="A28" s="4" t="s">
        <v>39</v>
      </c>
      <c r="B28" s="2">
        <v>92220000</v>
      </c>
    </row>
    <row r="29" spans="1:2" x14ac:dyDescent="0.35">
      <c r="A29" s="4" t="s">
        <v>40</v>
      </c>
      <c r="B29" s="2">
        <v>3312500</v>
      </c>
    </row>
    <row r="30" spans="1:2" x14ac:dyDescent="0.35">
      <c r="A30" s="4" t="s">
        <v>41</v>
      </c>
      <c r="B30" s="2">
        <v>13356000</v>
      </c>
    </row>
    <row r="31" spans="1:2" x14ac:dyDescent="0.35">
      <c r="A31" s="4" t="s">
        <v>42</v>
      </c>
      <c r="B31" s="2">
        <v>2650000</v>
      </c>
    </row>
    <row r="32" spans="1:2" x14ac:dyDescent="0.35">
      <c r="A32" s="4" t="s">
        <v>43</v>
      </c>
      <c r="B32" s="2">
        <v>51940000</v>
      </c>
    </row>
    <row r="33" spans="1:2" x14ac:dyDescent="0.35">
      <c r="A33" s="4" t="s">
        <v>44</v>
      </c>
      <c r="B33" s="2">
        <v>35333333.333333328</v>
      </c>
    </row>
    <row r="34" spans="1:2" x14ac:dyDescent="0.35">
      <c r="A34" s="4" t="s">
        <v>31</v>
      </c>
      <c r="B34" s="2">
        <v>353333333.33333331</v>
      </c>
    </row>
    <row r="35" spans="1:2" x14ac:dyDescent="0.35">
      <c r="A35" s="4" t="s">
        <v>32</v>
      </c>
      <c r="B35" s="2">
        <v>411280000</v>
      </c>
    </row>
    <row r="36" spans="1:2" x14ac:dyDescent="0.35">
      <c r="A36" s="4" t="s">
        <v>45</v>
      </c>
      <c r="B36" s="2">
        <v>92750000</v>
      </c>
    </row>
    <row r="37" spans="1:2" x14ac:dyDescent="0.35">
      <c r="A37" s="4" t="s">
        <v>34</v>
      </c>
      <c r="B37" s="2">
        <v>463750000</v>
      </c>
    </row>
    <row r="38" spans="1:2" x14ac:dyDescent="0.35">
      <c r="A38" s="4" t="s">
        <v>46</v>
      </c>
      <c r="B38" s="2">
        <v>8259166.666666667</v>
      </c>
    </row>
    <row r="39" spans="1:2" x14ac:dyDescent="0.35">
      <c r="A39" s="4" t="s">
        <v>36</v>
      </c>
      <c r="B39" s="2">
        <v>145750000</v>
      </c>
    </row>
    <row r="40" spans="1:2" x14ac:dyDescent="0.35">
      <c r="A40" s="1" t="s">
        <v>6</v>
      </c>
      <c r="B40" s="2">
        <v>1074779333.3333333</v>
      </c>
    </row>
    <row r="41" spans="1:2" x14ac:dyDescent="0.35">
      <c r="A41" s="4" t="s">
        <v>18</v>
      </c>
      <c r="B41" s="2">
        <v>38500000</v>
      </c>
    </row>
    <row r="42" spans="1:2" x14ac:dyDescent="0.35">
      <c r="A42" s="4" t="s">
        <v>47</v>
      </c>
      <c r="B42" s="2">
        <v>110000000</v>
      </c>
    </row>
    <row r="43" spans="1:2" x14ac:dyDescent="0.35">
      <c r="A43" s="4" t="s">
        <v>48</v>
      </c>
      <c r="B43" s="2">
        <v>233200000</v>
      </c>
    </row>
    <row r="44" spans="1:2" x14ac:dyDescent="0.35">
      <c r="A44" s="4" t="s">
        <v>21</v>
      </c>
      <c r="B44" s="2">
        <v>1466666.6666666667</v>
      </c>
    </row>
    <row r="45" spans="1:2" x14ac:dyDescent="0.35">
      <c r="A45" s="4" t="s">
        <v>25</v>
      </c>
      <c r="B45" s="2">
        <v>18816000</v>
      </c>
    </row>
    <row r="46" spans="1:2" x14ac:dyDescent="0.35">
      <c r="A46" s="4" t="s">
        <v>29</v>
      </c>
      <c r="B46" s="2">
        <v>6233333.333333333</v>
      </c>
    </row>
    <row r="47" spans="1:2" x14ac:dyDescent="0.35">
      <c r="A47" s="4" t="s">
        <v>33</v>
      </c>
      <c r="B47" s="2">
        <v>268400000</v>
      </c>
    </row>
    <row r="48" spans="1:2" x14ac:dyDescent="0.35">
      <c r="A48" s="4" t="s">
        <v>49</v>
      </c>
      <c r="B48" s="2">
        <v>25666666.666666668</v>
      </c>
    </row>
    <row r="49" spans="1:2" x14ac:dyDescent="0.35">
      <c r="A49" s="4" t="s">
        <v>50</v>
      </c>
      <c r="B49" s="2">
        <v>1466666.6666666667</v>
      </c>
    </row>
    <row r="50" spans="1:2" x14ac:dyDescent="0.35">
      <c r="A50" s="4" t="s">
        <v>35</v>
      </c>
      <c r="B50" s="2">
        <v>133100000</v>
      </c>
    </row>
    <row r="51" spans="1:2" x14ac:dyDescent="0.35">
      <c r="A51" s="4" t="s">
        <v>36</v>
      </c>
      <c r="B51" s="2">
        <v>220000000</v>
      </c>
    </row>
    <row r="52" spans="1:2" x14ac:dyDescent="0.35">
      <c r="A52" s="4" t="s">
        <v>37</v>
      </c>
      <c r="B52" s="2">
        <v>6930000</v>
      </c>
    </row>
    <row r="53" spans="1:2" x14ac:dyDescent="0.35">
      <c r="A53" s="4" t="s">
        <v>38</v>
      </c>
      <c r="B53" s="2">
        <v>11000000</v>
      </c>
    </row>
    <row r="54" spans="1:2" x14ac:dyDescent="0.35">
      <c r="A54" s="1" t="s">
        <v>7</v>
      </c>
      <c r="B54" s="2">
        <v>838266666.66666663</v>
      </c>
    </row>
    <row r="55" spans="1:2" x14ac:dyDescent="0.35">
      <c r="A55" s="4" t="s">
        <v>20</v>
      </c>
      <c r="B55" s="2">
        <v>50400000</v>
      </c>
    </row>
    <row r="56" spans="1:2" x14ac:dyDescent="0.35">
      <c r="A56" s="4" t="s">
        <v>30</v>
      </c>
      <c r="B56" s="2">
        <v>60000000</v>
      </c>
    </row>
    <row r="57" spans="1:2" x14ac:dyDescent="0.35">
      <c r="A57" s="4" t="s">
        <v>31</v>
      </c>
      <c r="B57" s="2">
        <v>333333333.33333331</v>
      </c>
    </row>
    <row r="58" spans="1:2" x14ac:dyDescent="0.35">
      <c r="A58" s="4" t="s">
        <v>32</v>
      </c>
      <c r="B58" s="2">
        <v>211200000</v>
      </c>
    </row>
    <row r="59" spans="1:2" x14ac:dyDescent="0.35">
      <c r="A59" s="4" t="s">
        <v>36</v>
      </c>
      <c r="B59" s="2">
        <v>183333333.33333334</v>
      </c>
    </row>
    <row r="60" spans="1:2" x14ac:dyDescent="0.35">
      <c r="A60" s="1" t="s">
        <v>8</v>
      </c>
      <c r="B60" s="2">
        <v>836113333.33333337</v>
      </c>
    </row>
    <row r="61" spans="1:2" x14ac:dyDescent="0.35">
      <c r="A61" s="4" t="s">
        <v>47</v>
      </c>
      <c r="B61" s="2">
        <v>78000000</v>
      </c>
    </row>
    <row r="62" spans="1:2" x14ac:dyDescent="0.35">
      <c r="A62" s="4" t="s">
        <v>39</v>
      </c>
      <c r="B62" s="2">
        <v>138775000</v>
      </c>
    </row>
    <row r="63" spans="1:2" x14ac:dyDescent="0.35">
      <c r="A63" s="4" t="s">
        <v>51</v>
      </c>
      <c r="B63" s="2">
        <v>97500000</v>
      </c>
    </row>
    <row r="64" spans="1:2" x14ac:dyDescent="0.35">
      <c r="A64" s="4" t="s">
        <v>23</v>
      </c>
      <c r="B64" s="2">
        <v>260000</v>
      </c>
    </row>
    <row r="65" spans="1:2" x14ac:dyDescent="0.35">
      <c r="A65" s="4" t="s">
        <v>52</v>
      </c>
      <c r="B65" s="2">
        <v>65000000</v>
      </c>
    </row>
    <row r="66" spans="1:2" x14ac:dyDescent="0.35">
      <c r="A66" s="4" t="s">
        <v>33</v>
      </c>
      <c r="B66" s="2">
        <v>116000000</v>
      </c>
    </row>
    <row r="67" spans="1:2" x14ac:dyDescent="0.35">
      <c r="A67" s="4" t="s">
        <v>34</v>
      </c>
      <c r="B67" s="2">
        <v>182000000</v>
      </c>
    </row>
    <row r="68" spans="1:2" x14ac:dyDescent="0.35">
      <c r="A68" s="4" t="s">
        <v>53</v>
      </c>
      <c r="B68" s="2">
        <v>149175000</v>
      </c>
    </row>
    <row r="69" spans="1:2" x14ac:dyDescent="0.35">
      <c r="A69" s="4" t="s">
        <v>54</v>
      </c>
      <c r="B69" s="2">
        <v>433333.33333333331</v>
      </c>
    </row>
    <row r="70" spans="1:2" x14ac:dyDescent="0.35">
      <c r="A70" s="4" t="s">
        <v>37</v>
      </c>
      <c r="B70" s="2">
        <v>1820000</v>
      </c>
    </row>
    <row r="71" spans="1:2" x14ac:dyDescent="0.35">
      <c r="A71" s="4" t="s">
        <v>55</v>
      </c>
      <c r="B71" s="2">
        <v>6500000</v>
      </c>
    </row>
    <row r="72" spans="1:2" x14ac:dyDescent="0.35">
      <c r="A72" s="4" t="s">
        <v>38</v>
      </c>
      <c r="B72" s="2">
        <v>650000</v>
      </c>
    </row>
    <row r="73" spans="1:2" x14ac:dyDescent="0.35">
      <c r="A73" s="1" t="s">
        <v>9</v>
      </c>
      <c r="B73" s="2">
        <v>746000833.33333337</v>
      </c>
    </row>
    <row r="74" spans="1:2" x14ac:dyDescent="0.35">
      <c r="A74" s="4" t="s">
        <v>56</v>
      </c>
      <c r="B74" s="2">
        <v>54375000</v>
      </c>
    </row>
    <row r="75" spans="1:2" x14ac:dyDescent="0.35">
      <c r="A75" s="4" t="s">
        <v>25</v>
      </c>
      <c r="B75" s="2">
        <v>49735000</v>
      </c>
    </row>
    <row r="76" spans="1:2" x14ac:dyDescent="0.35">
      <c r="A76" s="4" t="s">
        <v>28</v>
      </c>
      <c r="B76" s="2">
        <v>89320000</v>
      </c>
    </row>
    <row r="77" spans="1:2" x14ac:dyDescent="0.35">
      <c r="A77" s="4" t="s">
        <v>57</v>
      </c>
      <c r="B77" s="2">
        <v>51233333.333333336</v>
      </c>
    </row>
    <row r="78" spans="1:2" x14ac:dyDescent="0.35">
      <c r="A78" s="4" t="s">
        <v>30</v>
      </c>
      <c r="B78" s="2">
        <v>19575000</v>
      </c>
    </row>
    <row r="79" spans="1:2" x14ac:dyDescent="0.35">
      <c r="A79" s="4" t="s">
        <v>58</v>
      </c>
      <c r="B79" s="2">
        <v>355250000</v>
      </c>
    </row>
    <row r="80" spans="1:2" x14ac:dyDescent="0.35">
      <c r="A80" s="4" t="s">
        <v>59</v>
      </c>
      <c r="B80" s="2">
        <v>119625000</v>
      </c>
    </row>
    <row r="81" spans="1:2" x14ac:dyDescent="0.35">
      <c r="A81" s="4" t="s">
        <v>60</v>
      </c>
      <c r="B81" s="2">
        <v>4350000</v>
      </c>
    </row>
    <row r="82" spans="1:2" x14ac:dyDescent="0.35">
      <c r="A82" s="4" t="s">
        <v>61</v>
      </c>
      <c r="B82" s="2">
        <v>2537500</v>
      </c>
    </row>
    <row r="83" spans="1:2" x14ac:dyDescent="0.35">
      <c r="A83" s="1" t="s">
        <v>10</v>
      </c>
      <c r="B83" s="2">
        <v>742020000</v>
      </c>
    </row>
    <row r="84" spans="1:2" x14ac:dyDescent="0.35">
      <c r="A84" s="4" t="s">
        <v>51</v>
      </c>
      <c r="B84" s="2">
        <v>54000000</v>
      </c>
    </row>
    <row r="85" spans="1:2" x14ac:dyDescent="0.35">
      <c r="A85" s="4" t="s">
        <v>31</v>
      </c>
      <c r="B85" s="2">
        <v>120000000</v>
      </c>
    </row>
    <row r="86" spans="1:2" x14ac:dyDescent="0.35">
      <c r="A86" s="4" t="s">
        <v>62</v>
      </c>
      <c r="B86" s="2">
        <v>180000000</v>
      </c>
    </row>
    <row r="87" spans="1:2" x14ac:dyDescent="0.35">
      <c r="A87" s="4" t="s">
        <v>33</v>
      </c>
      <c r="B87" s="2">
        <v>144000000</v>
      </c>
    </row>
    <row r="88" spans="1:2" x14ac:dyDescent="0.35">
      <c r="A88" s="4" t="s">
        <v>49</v>
      </c>
      <c r="B88" s="2">
        <v>34920000</v>
      </c>
    </row>
    <row r="89" spans="1:2" x14ac:dyDescent="0.35">
      <c r="A89" s="4" t="s">
        <v>35</v>
      </c>
      <c r="B89" s="2">
        <v>143100000</v>
      </c>
    </row>
    <row r="90" spans="1:2" x14ac:dyDescent="0.35">
      <c r="A90" s="4" t="s">
        <v>36</v>
      </c>
      <c r="B90" s="2">
        <v>66000000</v>
      </c>
    </row>
    <row r="91" spans="1:2" x14ac:dyDescent="0.35">
      <c r="A91" s="1" t="s">
        <v>11</v>
      </c>
      <c r="B91" s="2">
        <v>343660429</v>
      </c>
    </row>
    <row r="92" spans="1:2" x14ac:dyDescent="0.35">
      <c r="A92" s="4" t="s">
        <v>18</v>
      </c>
      <c r="B92" s="2">
        <v>5004125</v>
      </c>
    </row>
    <row r="93" spans="1:2" x14ac:dyDescent="0.35">
      <c r="A93" s="4" t="s">
        <v>47</v>
      </c>
      <c r="B93" s="2">
        <v>71487500</v>
      </c>
    </row>
    <row r="94" spans="1:2" x14ac:dyDescent="0.35">
      <c r="A94" s="4" t="s">
        <v>20</v>
      </c>
      <c r="B94" s="2">
        <v>41554254</v>
      </c>
    </row>
    <row r="95" spans="1:2" x14ac:dyDescent="0.35">
      <c r="A95" s="4" t="s">
        <v>21</v>
      </c>
      <c r="B95" s="2">
        <v>428925</v>
      </c>
    </row>
    <row r="96" spans="1:2" x14ac:dyDescent="0.35">
      <c r="A96" s="4" t="s">
        <v>41</v>
      </c>
      <c r="B96" s="2">
        <v>54044550</v>
      </c>
    </row>
    <row r="97" spans="1:2" x14ac:dyDescent="0.35">
      <c r="A97" s="4" t="s">
        <v>26</v>
      </c>
      <c r="B97" s="2">
        <v>4289250</v>
      </c>
    </row>
    <row r="98" spans="1:2" x14ac:dyDescent="0.35">
      <c r="A98" s="4" t="s">
        <v>27</v>
      </c>
      <c r="B98" s="2">
        <v>26092937.5</v>
      </c>
    </row>
    <row r="99" spans="1:2" x14ac:dyDescent="0.35">
      <c r="A99" s="4" t="s">
        <v>29</v>
      </c>
      <c r="B99" s="2">
        <v>5719000</v>
      </c>
    </row>
    <row r="100" spans="1:2" x14ac:dyDescent="0.35">
      <c r="A100" s="4" t="s">
        <v>63</v>
      </c>
      <c r="B100" s="2">
        <v>285950</v>
      </c>
    </row>
    <row r="101" spans="1:2" x14ac:dyDescent="0.35">
      <c r="A101" s="4" t="s">
        <v>50</v>
      </c>
      <c r="B101" s="2">
        <v>50041250</v>
      </c>
    </row>
    <row r="102" spans="1:2" x14ac:dyDescent="0.35">
      <c r="A102" s="4" t="s">
        <v>36</v>
      </c>
      <c r="B102" s="2">
        <v>62909000</v>
      </c>
    </row>
    <row r="103" spans="1:2" x14ac:dyDescent="0.35">
      <c r="A103" s="4" t="s">
        <v>37</v>
      </c>
      <c r="B103" s="2">
        <v>12510312.5</v>
      </c>
    </row>
    <row r="104" spans="1:2" x14ac:dyDescent="0.35">
      <c r="A104" s="4" t="s">
        <v>55</v>
      </c>
      <c r="B104" s="2">
        <v>7148750</v>
      </c>
    </row>
    <row r="105" spans="1:2" x14ac:dyDescent="0.35">
      <c r="A105" s="4" t="s">
        <v>38</v>
      </c>
      <c r="B105" s="2">
        <v>2144625</v>
      </c>
    </row>
    <row r="106" spans="1:2" x14ac:dyDescent="0.35">
      <c r="A106" s="1" t="s">
        <v>12</v>
      </c>
      <c r="B106" s="2">
        <v>343648166.66666669</v>
      </c>
    </row>
    <row r="107" spans="1:2" x14ac:dyDescent="0.35">
      <c r="A107" s="4" t="s">
        <v>40</v>
      </c>
      <c r="B107" s="2">
        <v>845833.33333333337</v>
      </c>
    </row>
    <row r="108" spans="1:2" x14ac:dyDescent="0.35">
      <c r="A108" s="4" t="s">
        <v>23</v>
      </c>
      <c r="B108" s="2">
        <v>3625000</v>
      </c>
    </row>
    <row r="109" spans="1:2" x14ac:dyDescent="0.35">
      <c r="A109" s="4" t="s">
        <v>31</v>
      </c>
      <c r="B109" s="2">
        <v>241666666.66666666</v>
      </c>
    </row>
    <row r="110" spans="1:2" x14ac:dyDescent="0.35">
      <c r="A110" s="4" t="s">
        <v>32</v>
      </c>
      <c r="B110" s="2">
        <v>87040000</v>
      </c>
    </row>
    <row r="111" spans="1:2" x14ac:dyDescent="0.35">
      <c r="A111" s="4" t="s">
        <v>64</v>
      </c>
      <c r="B111" s="2">
        <v>580000</v>
      </c>
    </row>
    <row r="112" spans="1:2" x14ac:dyDescent="0.35">
      <c r="A112" s="4" t="s">
        <v>61</v>
      </c>
      <c r="B112" s="2">
        <v>224000</v>
      </c>
    </row>
    <row r="113" spans="1:2" x14ac:dyDescent="0.35">
      <c r="A113" s="4" t="s">
        <v>55</v>
      </c>
      <c r="B113" s="2">
        <v>9666666.666666666</v>
      </c>
    </row>
    <row r="114" spans="1:2" x14ac:dyDescent="0.35">
      <c r="A114" s="1" t="s">
        <v>13</v>
      </c>
      <c r="B114" s="2">
        <v>273738499.99999994</v>
      </c>
    </row>
    <row r="115" spans="1:2" x14ac:dyDescent="0.35">
      <c r="A115" s="4" t="s">
        <v>51</v>
      </c>
      <c r="B115" s="2">
        <v>10976000</v>
      </c>
    </row>
    <row r="116" spans="1:2" x14ac:dyDescent="0.35">
      <c r="A116" s="4" t="s">
        <v>31</v>
      </c>
      <c r="B116" s="2">
        <v>18375000</v>
      </c>
    </row>
    <row r="117" spans="1:2" x14ac:dyDescent="0.35">
      <c r="A117" s="4" t="s">
        <v>49</v>
      </c>
      <c r="B117" s="2">
        <v>179666666.66666666</v>
      </c>
    </row>
    <row r="118" spans="1:2" x14ac:dyDescent="0.35">
      <c r="A118" s="4" t="s">
        <v>34</v>
      </c>
      <c r="B118" s="2">
        <v>27562500</v>
      </c>
    </row>
    <row r="119" spans="1:2" x14ac:dyDescent="0.35">
      <c r="A119" s="4" t="s">
        <v>65</v>
      </c>
      <c r="B119" s="2">
        <v>14291666.666666666</v>
      </c>
    </row>
    <row r="120" spans="1:2" x14ac:dyDescent="0.35">
      <c r="A120" s="4" t="s">
        <v>46</v>
      </c>
      <c r="B120" s="2">
        <v>22458333.333333332</v>
      </c>
    </row>
    <row r="121" spans="1:2" x14ac:dyDescent="0.35">
      <c r="A121" s="4" t="s">
        <v>54</v>
      </c>
      <c r="B121" s="2">
        <v>408333.33333333331</v>
      </c>
    </row>
    <row r="122" spans="1:2" x14ac:dyDescent="0.35">
      <c r="A122" s="1" t="s">
        <v>14</v>
      </c>
      <c r="B122" s="2">
        <v>107391666.66666667</v>
      </c>
    </row>
    <row r="123" spans="1:2" x14ac:dyDescent="0.35">
      <c r="A123" s="4" t="s">
        <v>30</v>
      </c>
      <c r="B123" s="2">
        <v>25725000</v>
      </c>
    </row>
    <row r="124" spans="1:2" x14ac:dyDescent="0.35">
      <c r="A124" s="4" t="s">
        <v>58</v>
      </c>
      <c r="B124" s="2">
        <v>81666666.666666672</v>
      </c>
    </row>
    <row r="125" spans="1:2" x14ac:dyDescent="0.35">
      <c r="A125" s="1" t="s">
        <v>15</v>
      </c>
      <c r="B125" s="2">
        <v>27500000</v>
      </c>
    </row>
    <row r="126" spans="1:2" x14ac:dyDescent="0.35">
      <c r="A126" s="4" t="s">
        <v>66</v>
      </c>
      <c r="B126" s="2">
        <v>27500000</v>
      </c>
    </row>
    <row r="127" spans="1:2" x14ac:dyDescent="0.35">
      <c r="A127" s="1" t="s">
        <v>16</v>
      </c>
      <c r="B127" s="2">
        <v>10165996929.000002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EEED-ACC3-45BD-8275-B861071033BE}">
  <dimension ref="A1:AN123"/>
  <sheetViews>
    <sheetView topLeftCell="AB1" workbookViewId="0">
      <selection activeCell="AP6" sqref="AP6"/>
    </sheetView>
  </sheetViews>
  <sheetFormatPr defaultRowHeight="14.5" x14ac:dyDescent="0.35"/>
  <cols>
    <col min="1" max="2" width="8.7265625" style="18"/>
    <col min="3" max="3" width="12.7265625" style="18" customWidth="1"/>
    <col min="4" max="6" width="8.7265625" style="18"/>
    <col min="7" max="7" width="46.54296875" style="18" bestFit="1" customWidth="1"/>
    <col min="8" max="8" width="0" style="18" hidden="1" customWidth="1"/>
    <col min="9" max="9" width="24.08984375" style="18" bestFit="1" customWidth="1"/>
    <col min="10" max="10" width="16.90625" style="18" customWidth="1"/>
    <col min="11" max="13" width="8.7265625" style="18" customWidth="1"/>
    <col min="14" max="14" width="10.7265625" style="18" customWidth="1"/>
    <col min="15" max="15" width="20.54296875" style="18" customWidth="1"/>
    <col min="16" max="16" width="20.453125" style="18" customWidth="1"/>
    <col min="17" max="17" width="20" style="18" customWidth="1"/>
    <col min="18" max="18" width="14.54296875" style="18" customWidth="1"/>
    <col min="19" max="19" width="21.7265625" style="18" customWidth="1"/>
    <col min="20" max="20" width="34.08984375" style="18" customWidth="1"/>
    <col min="21" max="21" width="8.7265625" style="18" customWidth="1"/>
    <col min="22" max="22" width="19.54296875" style="18" customWidth="1"/>
    <col min="23" max="23" width="18.36328125" style="18" customWidth="1"/>
    <col min="24" max="24" width="21.08984375" style="18" customWidth="1"/>
    <col min="25" max="25" width="8.7265625" style="18" customWidth="1"/>
    <col min="26" max="30" width="10.1796875" style="17" customWidth="1"/>
    <col min="31" max="16384" width="8.7265625" style="18"/>
  </cols>
  <sheetData>
    <row r="1" spans="1:40" s="19" customFormat="1" ht="24.5" customHeight="1" x14ac:dyDescent="0.35">
      <c r="A1" s="20" t="s">
        <v>140</v>
      </c>
      <c r="B1" s="20" t="s">
        <v>141</v>
      </c>
      <c r="C1" s="20" t="s">
        <v>142</v>
      </c>
      <c r="D1" s="20" t="s">
        <v>143</v>
      </c>
      <c r="E1" s="20" t="s">
        <v>144</v>
      </c>
      <c r="F1" s="20" t="s">
        <v>145</v>
      </c>
      <c r="G1" s="20" t="s">
        <v>146</v>
      </c>
      <c r="H1" s="20" t="s">
        <v>147</v>
      </c>
      <c r="I1" s="20" t="s">
        <v>148</v>
      </c>
      <c r="J1" s="20" t="s">
        <v>149</v>
      </c>
      <c r="K1" s="20" t="s">
        <v>150</v>
      </c>
      <c r="L1" s="20" t="s">
        <v>151</v>
      </c>
      <c r="M1" s="20" t="s">
        <v>152</v>
      </c>
      <c r="N1" s="20" t="s">
        <v>153</v>
      </c>
      <c r="O1" s="20" t="s">
        <v>154</v>
      </c>
      <c r="P1" s="20" t="s">
        <v>155</v>
      </c>
      <c r="Q1" s="20" t="s">
        <v>0</v>
      </c>
      <c r="R1" s="20" t="s">
        <v>156</v>
      </c>
      <c r="S1" s="21" t="s">
        <v>157</v>
      </c>
      <c r="T1" s="21" t="s">
        <v>158</v>
      </c>
      <c r="U1" s="22" t="s">
        <v>159</v>
      </c>
      <c r="V1" s="20" t="s">
        <v>160</v>
      </c>
      <c r="W1" s="20" t="s">
        <v>161</v>
      </c>
      <c r="X1" s="21" t="s">
        <v>162</v>
      </c>
      <c r="Y1" s="23" t="s">
        <v>163</v>
      </c>
      <c r="Z1" s="24" t="s">
        <v>164</v>
      </c>
      <c r="AA1" s="24" t="s">
        <v>382</v>
      </c>
      <c r="AB1" s="24" t="s">
        <v>383</v>
      </c>
      <c r="AC1" s="24" t="s">
        <v>384</v>
      </c>
      <c r="AD1" s="24" t="s">
        <v>385</v>
      </c>
      <c r="AE1" s="25" t="s">
        <v>386</v>
      </c>
      <c r="AF1" s="25" t="s">
        <v>387</v>
      </c>
      <c r="AG1" s="25" t="s">
        <v>388</v>
      </c>
      <c r="AH1" s="25" t="s">
        <v>389</v>
      </c>
      <c r="AI1" s="25" t="s">
        <v>390</v>
      </c>
      <c r="AJ1" s="25" t="s">
        <v>391</v>
      </c>
      <c r="AK1" s="25" t="s">
        <v>392</v>
      </c>
      <c r="AL1" s="25" t="s">
        <v>393</v>
      </c>
      <c r="AM1" s="70" t="s">
        <v>413</v>
      </c>
      <c r="AN1" s="70" t="s">
        <v>414</v>
      </c>
    </row>
    <row r="2" spans="1:40" x14ac:dyDescent="0.35">
      <c r="A2" s="26">
        <v>4</v>
      </c>
      <c r="B2" s="26">
        <v>2025</v>
      </c>
      <c r="C2" s="26" t="s">
        <v>165</v>
      </c>
      <c r="D2" s="26" t="s">
        <v>166</v>
      </c>
      <c r="E2" s="26" t="s">
        <v>167</v>
      </c>
      <c r="F2" s="26" t="s">
        <v>168</v>
      </c>
      <c r="G2" s="26" t="s">
        <v>28</v>
      </c>
      <c r="H2" s="26" t="s">
        <v>169</v>
      </c>
      <c r="I2" s="26" t="s">
        <v>170</v>
      </c>
      <c r="J2" s="26" t="s">
        <v>4</v>
      </c>
      <c r="K2" s="26" t="s">
        <v>171</v>
      </c>
      <c r="L2" s="26" t="s">
        <v>172</v>
      </c>
      <c r="M2" s="26" t="s">
        <v>173</v>
      </c>
      <c r="N2" s="26">
        <v>5000</v>
      </c>
      <c r="O2" s="26">
        <v>100</v>
      </c>
      <c r="P2" s="27">
        <v>950000</v>
      </c>
      <c r="Q2" s="27" t="s">
        <v>174</v>
      </c>
      <c r="R2" s="28">
        <v>714000</v>
      </c>
      <c r="S2" s="29">
        <v>95000000</v>
      </c>
      <c r="T2" s="29">
        <f>R2*O2</f>
        <v>71400000</v>
      </c>
      <c r="U2" s="30">
        <v>0.09</v>
      </c>
      <c r="V2" s="26" t="s">
        <v>175</v>
      </c>
      <c r="W2" s="31">
        <v>11</v>
      </c>
      <c r="X2" s="28">
        <f>T2*W2/12</f>
        <v>65450000</v>
      </c>
      <c r="Y2" s="32">
        <f>VLOOKUP(Q2,'[3]DATA VALID'!M:O,3,FALSE)</f>
        <v>0</v>
      </c>
      <c r="Z2" s="33">
        <f>(R2-VLOOKUP(J2,'[3]DATA VALID'!G:K,5,FALSE))/R2-Y2*1.24</f>
        <v>0.31618907563025211</v>
      </c>
      <c r="AA2" s="61"/>
      <c r="AB2" s="61">
        <f>ROUNDUP(Table2[[#This Row],[ Số lượng trúng thầu ]]*Table2[[#This Row],[Số tháng phát sinh]]/12/Table2[[#This Row],[Số tháng phát sinh]],0)</f>
        <v>9</v>
      </c>
      <c r="AC2" s="61">
        <f>ROUNDUP(Table2[[#This Row],[ Số lượng trúng thầu ]]*Table2[[#This Row],[Số tháng phát sinh]]/12/Table2[[#This Row],[Số tháng phát sinh]],0)</f>
        <v>9</v>
      </c>
      <c r="AD2" s="61">
        <f>ROUNDUP(Table2[[#This Row],[ Số lượng trúng thầu ]]*Table2[[#This Row],[Số tháng phát sinh]]/12/Table2[[#This Row],[Số tháng phát sinh]],0)</f>
        <v>9</v>
      </c>
      <c r="AE2" s="34">
        <f>ROUNDUP(Table2[[#This Row],[ Số lượng trúng thầu ]]*Table2[[#This Row],[Số tháng phát sinh]]/12/Table2[[#This Row],[Số tháng phát sinh]],0)</f>
        <v>9</v>
      </c>
      <c r="AF2" s="34">
        <f>ROUNDUP(Table2[[#This Row],[ Số lượng trúng thầu ]]*Table2[[#This Row],[Số tháng phát sinh]]/12/Table2[[#This Row],[Số tháng phát sinh]],0)</f>
        <v>9</v>
      </c>
      <c r="AG2" s="34">
        <f>ROUNDUP(Table2[[#This Row],[ Số lượng trúng thầu ]]*Table2[[#This Row],[Số tháng phát sinh]]/12/Table2[[#This Row],[Số tháng phát sinh]],0)</f>
        <v>9</v>
      </c>
      <c r="AH2" s="34">
        <f>ROUNDUP(Table2[[#This Row],[ Số lượng trúng thầu ]]*Table2[[#This Row],[Số tháng phát sinh]]/12/Table2[[#This Row],[Số tháng phát sinh]],0)</f>
        <v>9</v>
      </c>
      <c r="AI2" s="34">
        <f>ROUNDUP(Table2[[#This Row],[ Số lượng trúng thầu ]]*Table2[[#This Row],[Số tháng phát sinh]]/12/Table2[[#This Row],[Số tháng phát sinh]],0)</f>
        <v>9</v>
      </c>
      <c r="AJ2" s="34">
        <f>ROUNDUP(Table2[[#This Row],[ Số lượng trúng thầu ]]*Table2[[#This Row],[Số tháng phát sinh]]/12/Table2[[#This Row],[Số tháng phát sinh]],0)</f>
        <v>9</v>
      </c>
      <c r="AK2" s="34">
        <f>ROUNDUP(Table2[[#This Row],[ Số lượng trúng thầu ]]*Table2[[#This Row],[Số tháng phát sinh]]/12/Table2[[#This Row],[Số tháng phát sinh]],0)</f>
        <v>9</v>
      </c>
      <c r="AL2" s="34">
        <f>ROUNDUP(Table2[[#This Row],[ Số lượng trúng thầu ]]*Table2[[#This Row],[Số tháng phát sinh]]/12/Table2[[#This Row],[Số tháng phát sinh]],0)</f>
        <v>9</v>
      </c>
      <c r="AM2" s="34">
        <f>ROUNDUP(Table2[[#This Row],[ Số lượng trúng thầu ]]*Table2[[#This Row],[Số tháng phát sinh]]/12/Table2[[#This Row],[Số tháng phát sinh]],0)</f>
        <v>9</v>
      </c>
      <c r="AN2" s="34">
        <f>ROUNDUP(Table2[[#This Row],[ Số lượng trúng thầu ]]*Table2[[#This Row],[Số tháng phát sinh]]/12/Table2[[#This Row],[Số tháng phát sinh]],0)</f>
        <v>9</v>
      </c>
    </row>
    <row r="3" spans="1:40" x14ac:dyDescent="0.35">
      <c r="A3" s="26">
        <v>4</v>
      </c>
      <c r="B3" s="26">
        <v>2025</v>
      </c>
      <c r="C3" s="26" t="s">
        <v>165</v>
      </c>
      <c r="D3" s="26" t="s">
        <v>166</v>
      </c>
      <c r="E3" s="26" t="s">
        <v>167</v>
      </c>
      <c r="F3" s="26" t="s">
        <v>168</v>
      </c>
      <c r="G3" s="26" t="s">
        <v>28</v>
      </c>
      <c r="H3" s="26" t="s">
        <v>176</v>
      </c>
      <c r="I3" s="26" t="s">
        <v>177</v>
      </c>
      <c r="J3" s="31" t="s">
        <v>9</v>
      </c>
      <c r="K3" s="26" t="s">
        <v>171</v>
      </c>
      <c r="L3" s="26" t="s">
        <v>178</v>
      </c>
      <c r="M3" s="26" t="s">
        <v>173</v>
      </c>
      <c r="N3" s="26">
        <v>5000</v>
      </c>
      <c r="O3" s="26">
        <v>80</v>
      </c>
      <c r="P3" s="27">
        <v>1640000</v>
      </c>
      <c r="Q3" s="27" t="s">
        <v>174</v>
      </c>
      <c r="R3" s="27">
        <v>1218000</v>
      </c>
      <c r="S3" s="29">
        <v>131200000</v>
      </c>
      <c r="T3" s="29">
        <f t="shared" ref="T3:T33" si="0">R3*O3</f>
        <v>97440000</v>
      </c>
      <c r="U3" s="30">
        <v>0.13</v>
      </c>
      <c r="V3" s="26" t="s">
        <v>179</v>
      </c>
      <c r="W3" s="31">
        <v>11</v>
      </c>
      <c r="X3" s="28">
        <f t="shared" ref="X3:X33" si="1">T3*W3/12</f>
        <v>89320000</v>
      </c>
      <c r="Y3" s="32">
        <f>VLOOKUP(Q3,'[3]DATA VALID'!M:O,3,FALSE)</f>
        <v>0</v>
      </c>
      <c r="Z3" s="33">
        <f>(R3-VLOOKUP(J3,'[3]DATA VALID'!G:K,5,FALSE))/R3-Y3*1.24</f>
        <v>0.49399014778325123</v>
      </c>
      <c r="AA3" s="61"/>
      <c r="AB3" s="61">
        <f>ROUNDUP(Table2[[#This Row],[ Số lượng trúng thầu ]]*Table2[[#This Row],[Số tháng phát sinh]]/12/Table2[[#This Row],[Số tháng phát sinh]],0)</f>
        <v>7</v>
      </c>
      <c r="AC3" s="61">
        <f>ROUNDUP(Table2[[#This Row],[ Số lượng trúng thầu ]]*Table2[[#This Row],[Số tháng phát sinh]]/12/Table2[[#This Row],[Số tháng phát sinh]],0)</f>
        <v>7</v>
      </c>
      <c r="AD3" s="61">
        <f>ROUNDUP(Table2[[#This Row],[ Số lượng trúng thầu ]]*Table2[[#This Row],[Số tháng phát sinh]]/12/Table2[[#This Row],[Số tháng phát sinh]],0)</f>
        <v>7</v>
      </c>
      <c r="AE3" s="34">
        <f>ROUNDUP(Table2[[#This Row],[ Số lượng trúng thầu ]]*Table2[[#This Row],[Số tháng phát sinh]]/12/Table2[[#This Row],[Số tháng phát sinh]],0)</f>
        <v>7</v>
      </c>
      <c r="AF3" s="34">
        <f>ROUNDUP(Table2[[#This Row],[ Số lượng trúng thầu ]]*Table2[[#This Row],[Số tháng phát sinh]]/12/Table2[[#This Row],[Số tháng phát sinh]],0)</f>
        <v>7</v>
      </c>
      <c r="AG3" s="34">
        <f>ROUNDUP(Table2[[#This Row],[ Số lượng trúng thầu ]]*Table2[[#This Row],[Số tháng phát sinh]]/12/Table2[[#This Row],[Số tháng phát sinh]],0)</f>
        <v>7</v>
      </c>
      <c r="AH3" s="34">
        <f>ROUNDUP(Table2[[#This Row],[ Số lượng trúng thầu ]]*Table2[[#This Row],[Số tháng phát sinh]]/12/Table2[[#This Row],[Số tháng phát sinh]],0)</f>
        <v>7</v>
      </c>
      <c r="AI3" s="34">
        <f>ROUNDUP(Table2[[#This Row],[ Số lượng trúng thầu ]]*Table2[[#This Row],[Số tháng phát sinh]]/12/Table2[[#This Row],[Số tháng phát sinh]],0)</f>
        <v>7</v>
      </c>
      <c r="AJ3" s="34">
        <f>ROUNDUP(Table2[[#This Row],[ Số lượng trúng thầu ]]*Table2[[#This Row],[Số tháng phát sinh]]/12/Table2[[#This Row],[Số tháng phát sinh]],0)</f>
        <v>7</v>
      </c>
      <c r="AK3" s="34">
        <f>ROUNDUP(Table2[[#This Row],[ Số lượng trúng thầu ]]*Table2[[#This Row],[Số tháng phát sinh]]/12/Table2[[#This Row],[Số tháng phát sinh]],0)</f>
        <v>7</v>
      </c>
      <c r="AL3" s="34">
        <f>ROUNDUP(Table2[[#This Row],[ Số lượng trúng thầu ]]*Table2[[#This Row],[Số tháng phát sinh]]/12/Table2[[#This Row],[Số tháng phát sinh]],0)</f>
        <v>7</v>
      </c>
      <c r="AM3" s="34">
        <f>ROUNDUP(Table2[[#This Row],[ Số lượng trúng thầu ]]*Table2[[#This Row],[Số tháng phát sinh]]/12/Table2[[#This Row],[Số tháng phát sinh]],0)</f>
        <v>7</v>
      </c>
      <c r="AN3" s="34">
        <f>ROUNDUP(Table2[[#This Row],[ Số lượng trúng thầu ]]*Table2[[#This Row],[Số tháng phát sinh]]/12/Table2[[#This Row],[Số tháng phát sinh]],0)</f>
        <v>7</v>
      </c>
    </row>
    <row r="4" spans="1:40" x14ac:dyDescent="0.35">
      <c r="A4" s="26">
        <v>4</v>
      </c>
      <c r="B4" s="26">
        <v>2025</v>
      </c>
      <c r="C4" s="26" t="s">
        <v>165</v>
      </c>
      <c r="D4" s="26" t="s">
        <v>166</v>
      </c>
      <c r="E4" s="26" t="s">
        <v>180</v>
      </c>
      <c r="F4" s="26" t="s">
        <v>181</v>
      </c>
      <c r="G4" s="26" t="s">
        <v>46</v>
      </c>
      <c r="H4" s="26" t="s">
        <v>176</v>
      </c>
      <c r="I4" s="26" t="s">
        <v>182</v>
      </c>
      <c r="J4" s="31" t="s">
        <v>5</v>
      </c>
      <c r="K4" s="26" t="s">
        <v>171</v>
      </c>
      <c r="L4" s="26" t="s">
        <v>178</v>
      </c>
      <c r="M4" s="26" t="s">
        <v>173</v>
      </c>
      <c r="N4" s="26">
        <v>1000</v>
      </c>
      <c r="O4" s="26">
        <v>17</v>
      </c>
      <c r="P4" s="27">
        <v>595000</v>
      </c>
      <c r="Q4" s="27" t="s">
        <v>183</v>
      </c>
      <c r="R4" s="27">
        <v>530000</v>
      </c>
      <c r="S4" s="29">
        <v>10115000</v>
      </c>
      <c r="T4" s="29">
        <f t="shared" si="0"/>
        <v>9010000</v>
      </c>
      <c r="U4" s="30">
        <v>0.11</v>
      </c>
      <c r="V4" s="26" t="s">
        <v>184</v>
      </c>
      <c r="W4" s="31">
        <v>11</v>
      </c>
      <c r="X4" s="28">
        <f t="shared" si="1"/>
        <v>8259166.666666667</v>
      </c>
      <c r="Y4" s="32">
        <f>VLOOKUP(Q4,'[3]DATA VALID'!M:O,3,FALSE)</f>
        <v>0.1</v>
      </c>
      <c r="Z4" s="33">
        <f>(R4-VLOOKUP(J4,'[3]DATA VALID'!G:K,5,FALSE))/R4-Y4*1.24</f>
        <v>0.41266981132075475</v>
      </c>
      <c r="AA4" s="61"/>
      <c r="AB4" s="61">
        <f>ROUNDUP(Table2[[#This Row],[ Số lượng trúng thầu ]]*Table2[[#This Row],[Số tháng phát sinh]]/12/Table2[[#This Row],[Số tháng phát sinh]],0)</f>
        <v>2</v>
      </c>
      <c r="AC4" s="61">
        <f>ROUNDUP(Table2[[#This Row],[ Số lượng trúng thầu ]]*Table2[[#This Row],[Số tháng phát sinh]]/12/Table2[[#This Row],[Số tháng phát sinh]],0)</f>
        <v>2</v>
      </c>
      <c r="AD4" s="61">
        <f>ROUNDUP(Table2[[#This Row],[ Số lượng trúng thầu ]]*Table2[[#This Row],[Số tháng phát sinh]]/12/Table2[[#This Row],[Số tháng phát sinh]],0)</f>
        <v>2</v>
      </c>
      <c r="AE4" s="34">
        <f>ROUNDUP(Table2[[#This Row],[ Số lượng trúng thầu ]]*Table2[[#This Row],[Số tháng phát sinh]]/12/Table2[[#This Row],[Số tháng phát sinh]],0)</f>
        <v>2</v>
      </c>
      <c r="AF4" s="34">
        <f>ROUNDUP(Table2[[#This Row],[ Số lượng trúng thầu ]]*Table2[[#This Row],[Số tháng phát sinh]]/12/Table2[[#This Row],[Số tháng phát sinh]],0)</f>
        <v>2</v>
      </c>
      <c r="AG4" s="34">
        <f>ROUNDUP(Table2[[#This Row],[ Số lượng trúng thầu ]]*Table2[[#This Row],[Số tháng phát sinh]]/12/Table2[[#This Row],[Số tháng phát sinh]],0)</f>
        <v>2</v>
      </c>
      <c r="AH4" s="34">
        <f>ROUNDUP(Table2[[#This Row],[ Số lượng trúng thầu ]]*Table2[[#This Row],[Số tháng phát sinh]]/12/Table2[[#This Row],[Số tháng phát sinh]],0)</f>
        <v>2</v>
      </c>
      <c r="AI4" s="34">
        <f>ROUNDUP(Table2[[#This Row],[ Số lượng trúng thầu ]]*Table2[[#This Row],[Số tháng phát sinh]]/12/Table2[[#This Row],[Số tháng phát sinh]],0)</f>
        <v>2</v>
      </c>
      <c r="AJ4" s="34">
        <f>ROUNDUP(Table2[[#This Row],[ Số lượng trúng thầu ]]*Table2[[#This Row],[Số tháng phát sinh]]/12/Table2[[#This Row],[Số tháng phát sinh]],0)</f>
        <v>2</v>
      </c>
      <c r="AK4" s="34">
        <f>ROUNDUP(Table2[[#This Row],[ Số lượng trúng thầu ]]*Table2[[#This Row],[Số tháng phát sinh]]/12/Table2[[#This Row],[Số tháng phát sinh]],0)</f>
        <v>2</v>
      </c>
      <c r="AL4" s="34">
        <f>ROUNDUP(Table2[[#This Row],[ Số lượng trúng thầu ]]*Table2[[#This Row],[Số tháng phát sinh]]/12/Table2[[#This Row],[Số tháng phát sinh]],0)</f>
        <v>2</v>
      </c>
      <c r="AM4" s="34">
        <f>ROUNDUP(Table2[[#This Row],[ Số lượng trúng thầu ]]*Table2[[#This Row],[Số tháng phát sinh]]/12/Table2[[#This Row],[Số tháng phát sinh]],0)</f>
        <v>2</v>
      </c>
      <c r="AN4" s="34">
        <f>ROUNDUP(Table2[[#This Row],[ Số lượng trúng thầu ]]*Table2[[#This Row],[Số tháng phát sinh]]/12/Table2[[#This Row],[Số tháng phát sinh]],0)</f>
        <v>2</v>
      </c>
    </row>
    <row r="5" spans="1:40" x14ac:dyDescent="0.35">
      <c r="A5" s="26">
        <v>4</v>
      </c>
      <c r="B5" s="26">
        <v>2025</v>
      </c>
      <c r="C5" s="26" t="s">
        <v>165</v>
      </c>
      <c r="D5" s="26" t="s">
        <v>166</v>
      </c>
      <c r="E5" s="26" t="s">
        <v>180</v>
      </c>
      <c r="F5" s="26" t="s">
        <v>181</v>
      </c>
      <c r="G5" s="26" t="s">
        <v>46</v>
      </c>
      <c r="H5" s="26" t="s">
        <v>176</v>
      </c>
      <c r="I5" s="26" t="s">
        <v>185</v>
      </c>
      <c r="J5" s="26" t="str">
        <f>VLOOKUP(I5,'[3]DATA VALID'!A:B,2,FALSE)</f>
        <v>Exeol wipe optimal</v>
      </c>
      <c r="K5" s="26" t="s">
        <v>186</v>
      </c>
      <c r="L5" s="26" t="s">
        <v>187</v>
      </c>
      <c r="M5" s="26" t="s">
        <v>173</v>
      </c>
      <c r="N5" s="26">
        <v>100</v>
      </c>
      <c r="O5" s="26">
        <v>100</v>
      </c>
      <c r="P5" s="27">
        <v>290000</v>
      </c>
      <c r="Q5" s="27" t="s">
        <v>183</v>
      </c>
      <c r="R5" s="28">
        <v>245000</v>
      </c>
      <c r="S5" s="29">
        <v>29000000</v>
      </c>
      <c r="T5" s="29">
        <f t="shared" si="0"/>
        <v>24500000</v>
      </c>
      <c r="U5" s="30">
        <v>0.31</v>
      </c>
      <c r="V5" s="26" t="s">
        <v>188</v>
      </c>
      <c r="W5" s="31">
        <v>11</v>
      </c>
      <c r="X5" s="28">
        <f t="shared" si="1"/>
        <v>22458333.333333332</v>
      </c>
      <c r="Y5" s="32">
        <f>VLOOKUP(Q5,'[3]DATA VALID'!M:O,3,FALSE)</f>
        <v>0.1</v>
      </c>
      <c r="Z5" s="33">
        <f>(R5-VLOOKUP(J5,'[3]DATA VALID'!G:K,5,FALSE))/R5-Y5*1.24</f>
        <v>0.36423428571428568</v>
      </c>
      <c r="AA5" s="61"/>
      <c r="AB5" s="61">
        <f>ROUNDUP(Table2[[#This Row],[ Số lượng trúng thầu ]]*Table2[[#This Row],[Số tháng phát sinh]]/12/Table2[[#This Row],[Số tháng phát sinh]],0)</f>
        <v>9</v>
      </c>
      <c r="AC5" s="61">
        <f>ROUNDUP(Table2[[#This Row],[ Số lượng trúng thầu ]]*Table2[[#This Row],[Số tháng phát sinh]]/12/Table2[[#This Row],[Số tháng phát sinh]],0)</f>
        <v>9</v>
      </c>
      <c r="AD5" s="61">
        <f>ROUNDUP(Table2[[#This Row],[ Số lượng trúng thầu ]]*Table2[[#This Row],[Số tháng phát sinh]]/12/Table2[[#This Row],[Số tháng phát sinh]],0)</f>
        <v>9</v>
      </c>
      <c r="AE5" s="34">
        <f>ROUNDUP(Table2[[#This Row],[ Số lượng trúng thầu ]]*Table2[[#This Row],[Số tháng phát sinh]]/12/Table2[[#This Row],[Số tháng phát sinh]],0)</f>
        <v>9</v>
      </c>
      <c r="AF5" s="34">
        <f>ROUNDUP(Table2[[#This Row],[ Số lượng trúng thầu ]]*Table2[[#This Row],[Số tháng phát sinh]]/12/Table2[[#This Row],[Số tháng phát sinh]],0)</f>
        <v>9</v>
      </c>
      <c r="AG5" s="34">
        <f>ROUNDUP(Table2[[#This Row],[ Số lượng trúng thầu ]]*Table2[[#This Row],[Số tháng phát sinh]]/12/Table2[[#This Row],[Số tháng phát sinh]],0)</f>
        <v>9</v>
      </c>
      <c r="AH5" s="34">
        <f>ROUNDUP(Table2[[#This Row],[ Số lượng trúng thầu ]]*Table2[[#This Row],[Số tháng phát sinh]]/12/Table2[[#This Row],[Số tháng phát sinh]],0)</f>
        <v>9</v>
      </c>
      <c r="AI5" s="34">
        <f>ROUNDUP(Table2[[#This Row],[ Số lượng trúng thầu ]]*Table2[[#This Row],[Số tháng phát sinh]]/12/Table2[[#This Row],[Số tháng phát sinh]],0)</f>
        <v>9</v>
      </c>
      <c r="AJ5" s="34">
        <f>ROUNDUP(Table2[[#This Row],[ Số lượng trúng thầu ]]*Table2[[#This Row],[Số tháng phát sinh]]/12/Table2[[#This Row],[Số tháng phát sinh]],0)</f>
        <v>9</v>
      </c>
      <c r="AK5" s="34">
        <f>ROUNDUP(Table2[[#This Row],[ Số lượng trúng thầu ]]*Table2[[#This Row],[Số tháng phát sinh]]/12/Table2[[#This Row],[Số tháng phát sinh]],0)</f>
        <v>9</v>
      </c>
      <c r="AL5" s="34">
        <f>ROUNDUP(Table2[[#This Row],[ Số lượng trúng thầu ]]*Table2[[#This Row],[Số tháng phát sinh]]/12/Table2[[#This Row],[Số tháng phát sinh]],0)</f>
        <v>9</v>
      </c>
      <c r="AM5" s="34">
        <f>ROUNDUP(Table2[[#This Row],[ Số lượng trúng thầu ]]*Table2[[#This Row],[Số tháng phát sinh]]/12/Table2[[#This Row],[Số tháng phát sinh]],0)</f>
        <v>9</v>
      </c>
      <c r="AN5" s="34">
        <f>ROUNDUP(Table2[[#This Row],[ Số lượng trúng thầu ]]*Table2[[#This Row],[Số tháng phát sinh]]/12/Table2[[#This Row],[Số tháng phát sinh]],0)</f>
        <v>9</v>
      </c>
    </row>
    <row r="6" spans="1:40" x14ac:dyDescent="0.35">
      <c r="A6" s="26">
        <v>5</v>
      </c>
      <c r="B6" s="26">
        <v>2025</v>
      </c>
      <c r="C6" s="26" t="s">
        <v>165</v>
      </c>
      <c r="D6" s="26" t="s">
        <v>189</v>
      </c>
      <c r="E6" s="26" t="s">
        <v>194</v>
      </c>
      <c r="F6" s="26" t="s">
        <v>195</v>
      </c>
      <c r="G6" s="26" t="s">
        <v>19</v>
      </c>
      <c r="H6" s="26" t="s">
        <v>169</v>
      </c>
      <c r="I6" s="26" t="s">
        <v>170</v>
      </c>
      <c r="J6" s="26" t="s">
        <v>4</v>
      </c>
      <c r="K6" s="26" t="s">
        <v>171</v>
      </c>
      <c r="L6" s="26" t="s">
        <v>172</v>
      </c>
      <c r="M6" s="26" t="s">
        <v>173</v>
      </c>
      <c r="N6" s="26">
        <v>5000</v>
      </c>
      <c r="O6" s="26">
        <v>600</v>
      </c>
      <c r="P6" s="27">
        <v>850000</v>
      </c>
      <c r="Q6" s="27" t="s">
        <v>196</v>
      </c>
      <c r="R6" s="28">
        <v>714000</v>
      </c>
      <c r="S6" s="29">
        <v>510000000</v>
      </c>
      <c r="T6" s="29">
        <f t="shared" si="0"/>
        <v>428400000</v>
      </c>
      <c r="U6" s="30">
        <v>1</v>
      </c>
      <c r="V6" s="26" t="s">
        <v>197</v>
      </c>
      <c r="W6" s="31">
        <v>10</v>
      </c>
      <c r="X6" s="28">
        <f t="shared" si="1"/>
        <v>357000000</v>
      </c>
      <c r="Y6" s="32">
        <f>VLOOKUP(Q6,'[3]DATA VALID'!M:O,3,FALSE)</f>
        <v>0</v>
      </c>
      <c r="Z6" s="33">
        <f>(R6-VLOOKUP(J6,'[3]DATA VALID'!G:K,5,FALSE))/R6-Y6*1.24</f>
        <v>0.31618907563025211</v>
      </c>
      <c r="AA6" s="61"/>
      <c r="AB6" s="61"/>
      <c r="AC6" s="61">
        <f>ROUNDUP(Table2[[#This Row],[ Số lượng trúng thầu ]]*Table2[[#This Row],[Số tháng phát sinh]]/12/Table2[[#This Row],[Số tháng phát sinh]],0)</f>
        <v>50</v>
      </c>
      <c r="AD6" s="61">
        <f>ROUNDUP(Table2[[#This Row],[ Số lượng trúng thầu ]]*Table2[[#This Row],[Số tháng phát sinh]]/12/Table2[[#This Row],[Số tháng phát sinh]],0)</f>
        <v>50</v>
      </c>
      <c r="AE6" s="34">
        <f>ROUNDUP(Table2[[#This Row],[ Số lượng trúng thầu ]]*Table2[[#This Row],[Số tháng phát sinh]]/12/Table2[[#This Row],[Số tháng phát sinh]],0)</f>
        <v>50</v>
      </c>
      <c r="AF6" s="34">
        <f>ROUNDUP(Table2[[#This Row],[ Số lượng trúng thầu ]]*Table2[[#This Row],[Số tháng phát sinh]]/12/Table2[[#This Row],[Số tháng phát sinh]],0)</f>
        <v>50</v>
      </c>
      <c r="AG6" s="34">
        <f>ROUNDUP(Table2[[#This Row],[ Số lượng trúng thầu ]]*Table2[[#This Row],[Số tháng phát sinh]]/12/Table2[[#This Row],[Số tháng phát sinh]],0)</f>
        <v>50</v>
      </c>
      <c r="AH6" s="34">
        <f>ROUNDUP(Table2[[#This Row],[ Số lượng trúng thầu ]]*Table2[[#This Row],[Số tháng phát sinh]]/12/Table2[[#This Row],[Số tháng phát sinh]],0)</f>
        <v>50</v>
      </c>
      <c r="AI6" s="34">
        <f>ROUNDUP(Table2[[#This Row],[ Số lượng trúng thầu ]]*Table2[[#This Row],[Số tháng phát sinh]]/12/Table2[[#This Row],[Số tháng phát sinh]],0)</f>
        <v>50</v>
      </c>
      <c r="AJ6" s="34">
        <f>ROUNDUP(Table2[[#This Row],[ Số lượng trúng thầu ]]*Table2[[#This Row],[Số tháng phát sinh]]/12/Table2[[#This Row],[Số tháng phát sinh]],0)</f>
        <v>50</v>
      </c>
      <c r="AK6" s="34">
        <f>ROUNDUP(Table2[[#This Row],[ Số lượng trúng thầu ]]*Table2[[#This Row],[Số tháng phát sinh]]/12/Table2[[#This Row],[Số tháng phát sinh]],0)</f>
        <v>50</v>
      </c>
      <c r="AL6" s="34">
        <f>ROUNDUP(Table2[[#This Row],[ Số lượng trúng thầu ]]*Table2[[#This Row],[Số tháng phát sinh]]/12/Table2[[#This Row],[Số tháng phát sinh]],0)</f>
        <v>50</v>
      </c>
      <c r="AM6" s="34">
        <f>ROUNDUP(Table2[[#This Row],[ Số lượng trúng thầu ]]*Table2[[#This Row],[Số tháng phát sinh]]/12/Table2[[#This Row],[Số tháng phát sinh]],0)</f>
        <v>50</v>
      </c>
      <c r="AN6" s="34">
        <f>ROUNDUP(Table2[[#This Row],[ Số lượng trúng thầu ]]*Table2[[#This Row],[Số tháng phát sinh]]/12/Table2[[#This Row],[Số tháng phát sinh]],0)</f>
        <v>50</v>
      </c>
    </row>
    <row r="7" spans="1:40" x14ac:dyDescent="0.35">
      <c r="A7" s="26">
        <v>5</v>
      </c>
      <c r="B7" s="26">
        <v>2025</v>
      </c>
      <c r="C7" s="26" t="s">
        <v>165</v>
      </c>
      <c r="D7" s="26" t="s">
        <v>166</v>
      </c>
      <c r="E7" s="26" t="s">
        <v>167</v>
      </c>
      <c r="F7" s="26" t="s">
        <v>198</v>
      </c>
      <c r="G7" s="26" t="s">
        <v>52</v>
      </c>
      <c r="H7" s="26" t="s">
        <v>176</v>
      </c>
      <c r="I7" s="26" t="s">
        <v>199</v>
      </c>
      <c r="J7" s="31" t="s">
        <v>8</v>
      </c>
      <c r="K7" s="26" t="s">
        <v>186</v>
      </c>
      <c r="L7" s="26" t="s">
        <v>200</v>
      </c>
      <c r="M7" s="26" t="s">
        <v>173</v>
      </c>
      <c r="N7" s="26">
        <v>1000</v>
      </c>
      <c r="O7" s="26">
        <v>300</v>
      </c>
      <c r="P7" s="27">
        <v>290000</v>
      </c>
      <c r="Q7" s="27" t="s">
        <v>183</v>
      </c>
      <c r="R7" s="28">
        <v>260000</v>
      </c>
      <c r="S7" s="29">
        <v>87000000</v>
      </c>
      <c r="T7" s="29">
        <f t="shared" si="0"/>
        <v>78000000</v>
      </c>
      <c r="U7" s="30">
        <v>1</v>
      </c>
      <c r="V7" s="26" t="s">
        <v>201</v>
      </c>
      <c r="W7" s="31">
        <v>10</v>
      </c>
      <c r="X7" s="28">
        <f t="shared" si="1"/>
        <v>65000000</v>
      </c>
      <c r="Y7" s="32">
        <f>VLOOKUP(Q7,'[3]DATA VALID'!M:O,3,FALSE)</f>
        <v>0.1</v>
      </c>
      <c r="Z7" s="33">
        <f>(R7-VLOOKUP(J7,'[3]DATA VALID'!G:K,5,FALSE))/R7-Y7*1.24</f>
        <v>0.39375923076923069</v>
      </c>
      <c r="AA7" s="61"/>
      <c r="AB7" s="61"/>
      <c r="AC7" s="61">
        <f>ROUNDUP(Table2[[#This Row],[ Số lượng trúng thầu ]]*Table2[[#This Row],[Số tháng phát sinh]]/12/Table2[[#This Row],[Số tháng phát sinh]],0)</f>
        <v>25</v>
      </c>
      <c r="AD7" s="61">
        <f>ROUNDUP(Table2[[#This Row],[ Số lượng trúng thầu ]]*Table2[[#This Row],[Số tháng phát sinh]]/12/Table2[[#This Row],[Số tháng phát sinh]],0)</f>
        <v>25</v>
      </c>
      <c r="AE7" s="34">
        <f>ROUNDUP(Table2[[#This Row],[ Số lượng trúng thầu ]]*Table2[[#This Row],[Số tháng phát sinh]]/12/Table2[[#This Row],[Số tháng phát sinh]],0)</f>
        <v>25</v>
      </c>
      <c r="AF7" s="34">
        <f>ROUNDUP(Table2[[#This Row],[ Số lượng trúng thầu ]]*Table2[[#This Row],[Số tháng phát sinh]]/12/Table2[[#This Row],[Số tháng phát sinh]],0)</f>
        <v>25</v>
      </c>
      <c r="AG7" s="34">
        <f>ROUNDUP(Table2[[#This Row],[ Số lượng trúng thầu ]]*Table2[[#This Row],[Số tháng phát sinh]]/12/Table2[[#This Row],[Số tháng phát sinh]],0)</f>
        <v>25</v>
      </c>
      <c r="AH7" s="34">
        <f>ROUNDUP(Table2[[#This Row],[ Số lượng trúng thầu ]]*Table2[[#This Row],[Số tháng phát sinh]]/12/Table2[[#This Row],[Số tháng phát sinh]],0)</f>
        <v>25</v>
      </c>
      <c r="AI7" s="34">
        <f>ROUNDUP(Table2[[#This Row],[ Số lượng trúng thầu ]]*Table2[[#This Row],[Số tháng phát sinh]]/12/Table2[[#This Row],[Số tháng phát sinh]],0)</f>
        <v>25</v>
      </c>
      <c r="AJ7" s="34">
        <f>ROUNDUP(Table2[[#This Row],[ Số lượng trúng thầu ]]*Table2[[#This Row],[Số tháng phát sinh]]/12/Table2[[#This Row],[Số tháng phát sinh]],0)</f>
        <v>25</v>
      </c>
      <c r="AK7" s="34">
        <f>ROUNDUP(Table2[[#This Row],[ Số lượng trúng thầu ]]*Table2[[#This Row],[Số tháng phát sinh]]/12/Table2[[#This Row],[Số tháng phát sinh]],0)</f>
        <v>25</v>
      </c>
      <c r="AL7" s="34">
        <f>ROUNDUP(Table2[[#This Row],[ Số lượng trúng thầu ]]*Table2[[#This Row],[Số tháng phát sinh]]/12/Table2[[#This Row],[Số tháng phát sinh]],0)</f>
        <v>25</v>
      </c>
      <c r="AM7" s="34">
        <f>ROUNDUP(Table2[[#This Row],[ Số lượng trúng thầu ]]*Table2[[#This Row],[Số tháng phát sinh]]/12/Table2[[#This Row],[Số tháng phát sinh]],0)</f>
        <v>25</v>
      </c>
      <c r="AN7" s="34">
        <f>ROUNDUP(Table2[[#This Row],[ Số lượng trúng thầu ]]*Table2[[#This Row],[Số tháng phát sinh]]/12/Table2[[#This Row],[Số tháng phát sinh]],0)</f>
        <v>25</v>
      </c>
    </row>
    <row r="8" spans="1:40" x14ac:dyDescent="0.35">
      <c r="A8" s="26">
        <v>5</v>
      </c>
      <c r="B8" s="26">
        <v>2025</v>
      </c>
      <c r="C8" s="26" t="s">
        <v>165</v>
      </c>
      <c r="D8" s="26" t="s">
        <v>189</v>
      </c>
      <c r="E8" s="26" t="s">
        <v>202</v>
      </c>
      <c r="F8" s="26" t="s">
        <v>203</v>
      </c>
      <c r="G8" s="26" t="s">
        <v>27</v>
      </c>
      <c r="H8" s="26" t="s">
        <v>176</v>
      </c>
      <c r="I8" s="26" t="s">
        <v>204</v>
      </c>
      <c r="J8" s="26" t="s">
        <v>4</v>
      </c>
      <c r="K8" s="26" t="s">
        <v>171</v>
      </c>
      <c r="L8" s="26" t="s">
        <v>172</v>
      </c>
      <c r="M8" s="26" t="s">
        <v>173</v>
      </c>
      <c r="N8" s="26">
        <v>5000</v>
      </c>
      <c r="O8" s="26">
        <v>50</v>
      </c>
      <c r="P8" s="27">
        <v>1050000</v>
      </c>
      <c r="Q8" s="27" t="s">
        <v>183</v>
      </c>
      <c r="R8" s="27">
        <v>980000</v>
      </c>
      <c r="S8" s="29">
        <v>52500000</v>
      </c>
      <c r="T8" s="29">
        <f t="shared" si="0"/>
        <v>49000000</v>
      </c>
      <c r="U8" s="30">
        <v>0.09</v>
      </c>
      <c r="V8" s="26" t="s">
        <v>205</v>
      </c>
      <c r="W8" s="31">
        <v>10</v>
      </c>
      <c r="X8" s="28">
        <f t="shared" si="1"/>
        <v>40833333.333333336</v>
      </c>
      <c r="Y8" s="32">
        <f>VLOOKUP(Q8,'[3]DATA VALID'!M:O,3,FALSE)</f>
        <v>0.1</v>
      </c>
      <c r="Z8" s="33">
        <f>(R8-VLOOKUP(J8,'[3]DATA VALID'!G:K,5,FALSE))/R8-Y8*1.24</f>
        <v>0.37779489795918364</v>
      </c>
      <c r="AA8" s="61"/>
      <c r="AB8" s="61"/>
      <c r="AC8" s="61">
        <f>ROUNDUP(Table2[[#This Row],[ Số lượng trúng thầu ]]*Table2[[#This Row],[Số tháng phát sinh]]/12/Table2[[#This Row],[Số tháng phát sinh]],0)</f>
        <v>5</v>
      </c>
      <c r="AD8" s="61">
        <f>ROUNDUP(Table2[[#This Row],[ Số lượng trúng thầu ]]*Table2[[#This Row],[Số tháng phát sinh]]/12/Table2[[#This Row],[Số tháng phát sinh]],0)</f>
        <v>5</v>
      </c>
      <c r="AE8" s="34">
        <f>ROUNDUP(Table2[[#This Row],[ Số lượng trúng thầu ]]*Table2[[#This Row],[Số tháng phát sinh]]/12/Table2[[#This Row],[Số tháng phát sinh]],0)</f>
        <v>5</v>
      </c>
      <c r="AF8" s="34">
        <f>ROUNDUP(Table2[[#This Row],[ Số lượng trúng thầu ]]*Table2[[#This Row],[Số tháng phát sinh]]/12/Table2[[#This Row],[Số tháng phát sinh]],0)</f>
        <v>5</v>
      </c>
      <c r="AG8" s="34">
        <f>ROUNDUP(Table2[[#This Row],[ Số lượng trúng thầu ]]*Table2[[#This Row],[Số tháng phát sinh]]/12/Table2[[#This Row],[Số tháng phát sinh]],0)</f>
        <v>5</v>
      </c>
      <c r="AH8" s="34">
        <f>ROUNDUP(Table2[[#This Row],[ Số lượng trúng thầu ]]*Table2[[#This Row],[Số tháng phát sinh]]/12/Table2[[#This Row],[Số tháng phát sinh]],0)</f>
        <v>5</v>
      </c>
      <c r="AI8" s="34">
        <f>ROUNDUP(Table2[[#This Row],[ Số lượng trúng thầu ]]*Table2[[#This Row],[Số tháng phát sinh]]/12/Table2[[#This Row],[Số tháng phát sinh]],0)</f>
        <v>5</v>
      </c>
      <c r="AJ8" s="34">
        <f>ROUNDUP(Table2[[#This Row],[ Số lượng trúng thầu ]]*Table2[[#This Row],[Số tháng phát sinh]]/12/Table2[[#This Row],[Số tháng phát sinh]],0)</f>
        <v>5</v>
      </c>
      <c r="AK8" s="34">
        <f>ROUNDUP(Table2[[#This Row],[ Số lượng trúng thầu ]]*Table2[[#This Row],[Số tháng phát sinh]]/12/Table2[[#This Row],[Số tháng phát sinh]],0)</f>
        <v>5</v>
      </c>
      <c r="AL8" s="34">
        <f>ROUNDUP(Table2[[#This Row],[ Số lượng trúng thầu ]]*Table2[[#This Row],[Số tháng phát sinh]]/12/Table2[[#This Row],[Số tháng phát sinh]],0)</f>
        <v>5</v>
      </c>
      <c r="AM8" s="34">
        <f>ROUNDUP(Table2[[#This Row],[ Số lượng trúng thầu ]]*Table2[[#This Row],[Số tháng phát sinh]]/12/Table2[[#This Row],[Số tháng phát sinh]],0)</f>
        <v>5</v>
      </c>
      <c r="AN8" s="34">
        <f>ROUNDUP(Table2[[#This Row],[ Số lượng trúng thầu ]]*Table2[[#This Row],[Số tháng phát sinh]]/12/Table2[[#This Row],[Số tháng phát sinh]],0)</f>
        <v>5</v>
      </c>
    </row>
    <row r="9" spans="1:40" x14ac:dyDescent="0.35">
      <c r="A9" s="26">
        <v>5</v>
      </c>
      <c r="B9" s="26">
        <v>2025</v>
      </c>
      <c r="C9" s="26" t="s">
        <v>165</v>
      </c>
      <c r="D9" s="26" t="s">
        <v>189</v>
      </c>
      <c r="E9" s="26" t="s">
        <v>202</v>
      </c>
      <c r="F9" s="26" t="s">
        <v>203</v>
      </c>
      <c r="G9" s="26" t="s">
        <v>27</v>
      </c>
      <c r="H9" s="26" t="s">
        <v>176</v>
      </c>
      <c r="I9" s="26" t="s">
        <v>191</v>
      </c>
      <c r="J9" s="26" t="s">
        <v>11</v>
      </c>
      <c r="K9" s="26" t="s">
        <v>171</v>
      </c>
      <c r="L9" s="26" t="s">
        <v>172</v>
      </c>
      <c r="M9" s="26" t="s">
        <v>173</v>
      </c>
      <c r="N9" s="26">
        <v>5000</v>
      </c>
      <c r="O9" s="26">
        <v>73</v>
      </c>
      <c r="P9" s="27">
        <v>417000</v>
      </c>
      <c r="Q9" s="27" t="s">
        <v>183</v>
      </c>
      <c r="R9" s="28">
        <v>428925</v>
      </c>
      <c r="S9" s="29">
        <v>30441000</v>
      </c>
      <c r="T9" s="29">
        <f t="shared" si="0"/>
        <v>31311525</v>
      </c>
      <c r="U9" s="30">
        <v>0.05</v>
      </c>
      <c r="V9" s="26" t="s">
        <v>206</v>
      </c>
      <c r="W9" s="31">
        <v>10</v>
      </c>
      <c r="X9" s="28">
        <f t="shared" si="1"/>
        <v>26092937.5</v>
      </c>
      <c r="Y9" s="32">
        <f>VLOOKUP(Q9,'[3]DATA VALID'!M:O,3,FALSE)</f>
        <v>0.1</v>
      </c>
      <c r="Z9" s="33">
        <f>(R9-VLOOKUP(J9,'[3]DATA VALID'!G:K,5,FALSE))/R9-Y9*1.24</f>
        <v>0.42921559713236579</v>
      </c>
      <c r="AA9" s="61"/>
      <c r="AB9" s="61"/>
      <c r="AC9" s="61">
        <f>ROUNDUP(Table2[[#This Row],[ Số lượng trúng thầu ]]*Table2[[#This Row],[Số tháng phát sinh]]/12/Table2[[#This Row],[Số tháng phát sinh]],0)</f>
        <v>7</v>
      </c>
      <c r="AD9" s="61">
        <f>ROUNDUP(Table2[[#This Row],[ Số lượng trúng thầu ]]*Table2[[#This Row],[Số tháng phát sinh]]/12/Table2[[#This Row],[Số tháng phát sinh]],0)</f>
        <v>7</v>
      </c>
      <c r="AE9" s="34">
        <f>ROUNDUP(Table2[[#This Row],[ Số lượng trúng thầu ]]*Table2[[#This Row],[Số tháng phát sinh]]/12/Table2[[#This Row],[Số tháng phát sinh]],0)</f>
        <v>7</v>
      </c>
      <c r="AF9" s="34">
        <f>ROUNDUP(Table2[[#This Row],[ Số lượng trúng thầu ]]*Table2[[#This Row],[Số tháng phát sinh]]/12/Table2[[#This Row],[Số tháng phát sinh]],0)</f>
        <v>7</v>
      </c>
      <c r="AG9" s="34">
        <f>ROUNDUP(Table2[[#This Row],[ Số lượng trúng thầu ]]*Table2[[#This Row],[Số tháng phát sinh]]/12/Table2[[#This Row],[Số tháng phát sinh]],0)</f>
        <v>7</v>
      </c>
      <c r="AH9" s="34">
        <f>ROUNDUP(Table2[[#This Row],[ Số lượng trúng thầu ]]*Table2[[#This Row],[Số tháng phát sinh]]/12/Table2[[#This Row],[Số tháng phát sinh]],0)</f>
        <v>7</v>
      </c>
      <c r="AI9" s="34">
        <f>ROUNDUP(Table2[[#This Row],[ Số lượng trúng thầu ]]*Table2[[#This Row],[Số tháng phát sinh]]/12/Table2[[#This Row],[Số tháng phát sinh]],0)</f>
        <v>7</v>
      </c>
      <c r="AJ9" s="34">
        <f>ROUNDUP(Table2[[#This Row],[ Số lượng trúng thầu ]]*Table2[[#This Row],[Số tháng phát sinh]]/12/Table2[[#This Row],[Số tháng phát sinh]],0)</f>
        <v>7</v>
      </c>
      <c r="AK9" s="34">
        <f>ROUNDUP(Table2[[#This Row],[ Số lượng trúng thầu ]]*Table2[[#This Row],[Số tháng phát sinh]]/12/Table2[[#This Row],[Số tháng phát sinh]],0)</f>
        <v>7</v>
      </c>
      <c r="AL9" s="34">
        <f>ROUNDUP(Table2[[#This Row],[ Số lượng trúng thầu ]]*Table2[[#This Row],[Số tháng phát sinh]]/12/Table2[[#This Row],[Số tháng phát sinh]],0)</f>
        <v>7</v>
      </c>
      <c r="AM9" s="34">
        <f>ROUNDUP(Table2[[#This Row],[ Số lượng trúng thầu ]]*Table2[[#This Row],[Số tháng phát sinh]]/12/Table2[[#This Row],[Số tháng phát sinh]],0)</f>
        <v>7</v>
      </c>
      <c r="AN9" s="34">
        <f>ROUNDUP(Table2[[#This Row],[ Số lượng trúng thầu ]]*Table2[[#This Row],[Số tháng phát sinh]]/12/Table2[[#This Row],[Số tháng phát sinh]],0)</f>
        <v>7</v>
      </c>
    </row>
    <row r="10" spans="1:40" x14ac:dyDescent="0.35">
      <c r="A10" s="26">
        <v>6</v>
      </c>
      <c r="B10" s="26">
        <v>2025</v>
      </c>
      <c r="C10" s="26" t="s">
        <v>165</v>
      </c>
      <c r="D10" s="26" t="s">
        <v>166</v>
      </c>
      <c r="E10" s="26" t="s">
        <v>211</v>
      </c>
      <c r="F10" s="26" t="s">
        <v>212</v>
      </c>
      <c r="G10" s="26" t="s">
        <v>51</v>
      </c>
      <c r="H10" s="26" t="s">
        <v>176</v>
      </c>
      <c r="I10" s="26" t="s">
        <v>213</v>
      </c>
      <c r="J10" s="31" t="s">
        <v>10</v>
      </c>
      <c r="K10" s="26" t="s">
        <v>186</v>
      </c>
      <c r="L10" s="26" t="s">
        <v>200</v>
      </c>
      <c r="M10" s="26" t="s">
        <v>173</v>
      </c>
      <c r="N10" s="26">
        <v>750</v>
      </c>
      <c r="O10" s="26">
        <v>200</v>
      </c>
      <c r="P10" s="27">
        <v>415000</v>
      </c>
      <c r="Q10" s="27" t="s">
        <v>183</v>
      </c>
      <c r="R10" s="28">
        <v>360000</v>
      </c>
      <c r="S10" s="29">
        <v>83000000</v>
      </c>
      <c r="T10" s="29">
        <f t="shared" si="0"/>
        <v>72000000</v>
      </c>
      <c r="U10" s="30">
        <v>0.23</v>
      </c>
      <c r="V10" s="26" t="s">
        <v>214</v>
      </c>
      <c r="W10" s="31">
        <v>9</v>
      </c>
      <c r="X10" s="28">
        <f t="shared" si="1"/>
        <v>54000000</v>
      </c>
      <c r="Y10" s="32">
        <f>VLOOKUP(Q10,'[3]DATA VALID'!M:O,3,FALSE)</f>
        <v>0.1</v>
      </c>
      <c r="Z10" s="33">
        <f>(R10-VLOOKUP(J10,'[3]DATA VALID'!G:K,5,FALSE))/R10-Y10*1.24</f>
        <v>0.56480833333333336</v>
      </c>
      <c r="AA10" s="33"/>
      <c r="AB10" s="33"/>
      <c r="AC10" s="33"/>
      <c r="AD10" s="33"/>
      <c r="AE10" s="34">
        <f>ROUNDUP(Table2[[#This Row],[ Số lượng trúng thầu ]]*Table2[[#This Row],[Số tháng phát sinh]]/12/9,0)</f>
        <v>17</v>
      </c>
      <c r="AF10" s="34">
        <f>ROUNDUP(Table2[[#This Row],[ Số lượng trúng thầu ]]*Table2[[#This Row],[Số tháng phát sinh]]/12/9,0)</f>
        <v>17</v>
      </c>
      <c r="AG10" s="34">
        <f>ROUNDUP(Table2[[#This Row],[ Số lượng trúng thầu ]]*Table2[[#This Row],[Số tháng phát sinh]]/12/9,0)</f>
        <v>17</v>
      </c>
      <c r="AH10" s="34">
        <f>ROUNDUP(Table2[[#This Row],[ Số lượng trúng thầu ]]*Table2[[#This Row],[Số tháng phát sinh]]/12/9,0)</f>
        <v>17</v>
      </c>
      <c r="AI10" s="34">
        <f>ROUNDUP(Table2[[#This Row],[ Số lượng trúng thầu ]]*Table2[[#This Row],[Số tháng phát sinh]]/12/9,0)</f>
        <v>17</v>
      </c>
      <c r="AJ10" s="34">
        <f>ROUNDUP(Table2[[#This Row],[ Số lượng trúng thầu ]]*Table2[[#This Row],[Số tháng phát sinh]]/12/9,0)</f>
        <v>17</v>
      </c>
      <c r="AK10" s="34">
        <f>ROUNDUP(Table2[[#This Row],[ Số lượng trúng thầu ]]*Table2[[#This Row],[Số tháng phát sinh]]/12/9,0)</f>
        <v>17</v>
      </c>
      <c r="AL10" s="34">
        <f>ROUNDUP(Table2[[#This Row],[ Số lượng trúng thầu ]]*Table2[[#This Row],[Số tháng phát sinh]]/12/9,0)</f>
        <v>17</v>
      </c>
      <c r="AM10" s="34">
        <f>ROUNDUP(Table2[[#This Row],[ Số lượng trúng thầu ]]*Table2[[#This Row],[Số tháng phát sinh]]/12/9,0)</f>
        <v>17</v>
      </c>
      <c r="AN10" s="34">
        <f>ROUNDUP(Table2[[#This Row],[ Số lượng trúng thầu ]]*Table2[[#This Row],[Số tháng phát sinh]]/12/9,0)</f>
        <v>17</v>
      </c>
    </row>
    <row r="11" spans="1:40" x14ac:dyDescent="0.35">
      <c r="A11" s="26">
        <v>6</v>
      </c>
      <c r="B11" s="26">
        <v>2025</v>
      </c>
      <c r="C11" s="26" t="s">
        <v>165</v>
      </c>
      <c r="D11" s="26" t="s">
        <v>166</v>
      </c>
      <c r="E11" s="26" t="s">
        <v>211</v>
      </c>
      <c r="F11" s="26" t="s">
        <v>212</v>
      </c>
      <c r="G11" s="26" t="s">
        <v>51</v>
      </c>
      <c r="H11" s="26" t="s">
        <v>176</v>
      </c>
      <c r="I11" s="26" t="s">
        <v>199</v>
      </c>
      <c r="J11" s="31" t="s">
        <v>8</v>
      </c>
      <c r="K11" s="26" t="s">
        <v>186</v>
      </c>
      <c r="L11" s="26" t="s">
        <v>200</v>
      </c>
      <c r="M11" s="26" t="s">
        <v>173</v>
      </c>
      <c r="N11" s="26">
        <v>1000</v>
      </c>
      <c r="O11" s="26">
        <v>500</v>
      </c>
      <c r="P11" s="27">
        <v>290000</v>
      </c>
      <c r="Q11" s="27" t="s">
        <v>183</v>
      </c>
      <c r="R11" s="28">
        <v>260000</v>
      </c>
      <c r="S11" s="29">
        <v>145000000</v>
      </c>
      <c r="T11" s="29">
        <f t="shared" si="0"/>
        <v>130000000</v>
      </c>
      <c r="U11" s="30">
        <v>0.41</v>
      </c>
      <c r="V11" s="26" t="s">
        <v>215</v>
      </c>
      <c r="W11" s="31">
        <v>9</v>
      </c>
      <c r="X11" s="28">
        <f t="shared" si="1"/>
        <v>97500000</v>
      </c>
      <c r="Y11" s="32">
        <f>VLOOKUP(Q11,'[3]DATA VALID'!M:O,3,FALSE)</f>
        <v>0.1</v>
      </c>
      <c r="Z11" s="33">
        <f>(R11-VLOOKUP(J11,'[3]DATA VALID'!G:K,5,FALSE))/R11-Y11*1.24</f>
        <v>0.39375923076923069</v>
      </c>
      <c r="AA11" s="33"/>
      <c r="AB11" s="33"/>
      <c r="AC11" s="33"/>
      <c r="AD11" s="33"/>
      <c r="AE11" s="34">
        <f>ROUNDUP(Table2[[#This Row],[ Số lượng trúng thầu ]]*Table2[[#This Row],[Số tháng phát sinh]]/12/9,0)</f>
        <v>42</v>
      </c>
      <c r="AF11" s="34">
        <f>ROUNDUP(Table2[[#This Row],[ Số lượng trúng thầu ]]*Table2[[#This Row],[Số tháng phát sinh]]/12/9,0)</f>
        <v>42</v>
      </c>
      <c r="AG11" s="34">
        <f>ROUNDUP(Table2[[#This Row],[ Số lượng trúng thầu ]]*Table2[[#This Row],[Số tháng phát sinh]]/12/9,0)</f>
        <v>42</v>
      </c>
      <c r="AH11" s="34">
        <f>ROUNDUP(Table2[[#This Row],[ Số lượng trúng thầu ]]*Table2[[#This Row],[Số tháng phát sinh]]/12/9,0)</f>
        <v>42</v>
      </c>
      <c r="AI11" s="34">
        <f>ROUNDUP(Table2[[#This Row],[ Số lượng trúng thầu ]]*Table2[[#This Row],[Số tháng phát sinh]]/12/9,0)</f>
        <v>42</v>
      </c>
      <c r="AJ11" s="34">
        <f>ROUNDUP(Table2[[#This Row],[ Số lượng trúng thầu ]]*Table2[[#This Row],[Số tháng phát sinh]]/12/9,0)</f>
        <v>42</v>
      </c>
      <c r="AK11" s="34">
        <f>ROUNDUP(Table2[[#This Row],[ Số lượng trúng thầu ]]*Table2[[#This Row],[Số tháng phát sinh]]/12/9,0)</f>
        <v>42</v>
      </c>
      <c r="AL11" s="34">
        <f>ROUNDUP(Table2[[#This Row],[ Số lượng trúng thầu ]]*Table2[[#This Row],[Số tháng phát sinh]]/12/9,0)</f>
        <v>42</v>
      </c>
      <c r="AM11" s="34">
        <f>ROUNDUP(Table2[[#This Row],[ Số lượng trúng thầu ]]*Table2[[#This Row],[Số tháng phát sinh]]/12/9,0)</f>
        <v>42</v>
      </c>
      <c r="AN11" s="34">
        <f>ROUNDUP(Table2[[#This Row],[ Số lượng trúng thầu ]]*Table2[[#This Row],[Số tháng phát sinh]]/12/9,0)</f>
        <v>42</v>
      </c>
    </row>
    <row r="12" spans="1:40" x14ac:dyDescent="0.35">
      <c r="A12" s="26">
        <v>6</v>
      </c>
      <c r="B12" s="26">
        <v>2025</v>
      </c>
      <c r="C12" s="26" t="s">
        <v>165</v>
      </c>
      <c r="D12" s="26" t="s">
        <v>166</v>
      </c>
      <c r="E12" s="26" t="s">
        <v>167</v>
      </c>
      <c r="F12" s="26" t="s">
        <v>218</v>
      </c>
      <c r="G12" s="26" t="s">
        <v>59</v>
      </c>
      <c r="H12" s="26" t="s">
        <v>176</v>
      </c>
      <c r="I12" s="26" t="s">
        <v>177</v>
      </c>
      <c r="J12" s="31" t="s">
        <v>9</v>
      </c>
      <c r="K12" s="26" t="s">
        <v>171</v>
      </c>
      <c r="L12" s="26" t="s">
        <v>178</v>
      </c>
      <c r="M12" s="26" t="s">
        <v>173</v>
      </c>
      <c r="N12" s="26">
        <v>5000</v>
      </c>
      <c r="O12" s="26">
        <v>110</v>
      </c>
      <c r="P12" s="27">
        <v>1610000</v>
      </c>
      <c r="Q12" s="27" t="s">
        <v>183</v>
      </c>
      <c r="R12" s="28">
        <v>1450000</v>
      </c>
      <c r="S12" s="29">
        <v>177100000</v>
      </c>
      <c r="T12" s="29">
        <f t="shared" si="0"/>
        <v>159500000</v>
      </c>
      <c r="U12" s="30">
        <v>0.11</v>
      </c>
      <c r="V12" s="26" t="s">
        <v>219</v>
      </c>
      <c r="W12" s="31">
        <v>9</v>
      </c>
      <c r="X12" s="28">
        <f t="shared" si="1"/>
        <v>119625000</v>
      </c>
      <c r="Y12" s="32">
        <f>VLOOKUP(Q12,'[3]DATA VALID'!M:O,3,FALSE)</f>
        <v>0.1</v>
      </c>
      <c r="Z12" s="33">
        <f>(R12-VLOOKUP(J12,'[3]DATA VALID'!G:K,5,FALSE))/R12-Y12*1.24</f>
        <v>0.45095172413793105</v>
      </c>
      <c r="AA12" s="33"/>
      <c r="AB12" s="33"/>
      <c r="AC12" s="33"/>
      <c r="AD12" s="33"/>
      <c r="AE12" s="34">
        <f>ROUNDUP(Table2[[#This Row],[ Số lượng trúng thầu ]]*Table2[[#This Row],[Số tháng phát sinh]]/12/9,0)</f>
        <v>10</v>
      </c>
      <c r="AF12" s="34">
        <f>ROUNDUP(Table2[[#This Row],[ Số lượng trúng thầu ]]*Table2[[#This Row],[Số tháng phát sinh]]/12/9,0)</f>
        <v>10</v>
      </c>
      <c r="AG12" s="34">
        <f>ROUNDUP(Table2[[#This Row],[ Số lượng trúng thầu ]]*Table2[[#This Row],[Số tháng phát sinh]]/12/9,0)</f>
        <v>10</v>
      </c>
      <c r="AH12" s="34">
        <f>ROUNDUP(Table2[[#This Row],[ Số lượng trúng thầu ]]*Table2[[#This Row],[Số tháng phát sinh]]/12/9,0)</f>
        <v>10</v>
      </c>
      <c r="AI12" s="34">
        <f>ROUNDUP(Table2[[#This Row],[ Số lượng trúng thầu ]]*Table2[[#This Row],[Số tháng phát sinh]]/12/9,0)</f>
        <v>10</v>
      </c>
      <c r="AJ12" s="34">
        <f>ROUNDUP(Table2[[#This Row],[ Số lượng trúng thầu ]]*Table2[[#This Row],[Số tháng phát sinh]]/12/9,0)</f>
        <v>10</v>
      </c>
      <c r="AK12" s="34">
        <f>ROUNDUP(Table2[[#This Row],[ Số lượng trúng thầu ]]*Table2[[#This Row],[Số tháng phát sinh]]/12/9,0)</f>
        <v>10</v>
      </c>
      <c r="AL12" s="34">
        <f>ROUNDUP(Table2[[#This Row],[ Số lượng trúng thầu ]]*Table2[[#This Row],[Số tháng phát sinh]]/12/9,0)</f>
        <v>10</v>
      </c>
      <c r="AM12" s="34">
        <f>ROUNDUP(Table2[[#This Row],[ Số lượng trúng thầu ]]*Table2[[#This Row],[Số tháng phát sinh]]/12/9,0)</f>
        <v>10</v>
      </c>
      <c r="AN12" s="34">
        <f>ROUNDUP(Table2[[#This Row],[ Số lượng trúng thầu ]]*Table2[[#This Row],[Số tháng phát sinh]]/12/9,0)</f>
        <v>10</v>
      </c>
    </row>
    <row r="13" spans="1:40" x14ac:dyDescent="0.35">
      <c r="A13" s="26">
        <v>7</v>
      </c>
      <c r="B13" s="26">
        <v>2025</v>
      </c>
      <c r="C13" s="26" t="s">
        <v>165</v>
      </c>
      <c r="D13" s="26" t="s">
        <v>189</v>
      </c>
      <c r="E13" s="26" t="s">
        <v>190</v>
      </c>
      <c r="F13" s="26" t="s">
        <v>221</v>
      </c>
      <c r="G13" s="26" t="s">
        <v>48</v>
      </c>
      <c r="H13" s="26" t="s">
        <v>216</v>
      </c>
      <c r="I13" s="26" t="s">
        <v>193</v>
      </c>
      <c r="J13" s="31" t="s">
        <v>6</v>
      </c>
      <c r="K13" s="26" t="s">
        <v>171</v>
      </c>
      <c r="L13" s="26" t="s">
        <v>178</v>
      </c>
      <c r="M13" s="26" t="s">
        <v>173</v>
      </c>
      <c r="N13" s="26">
        <v>1000</v>
      </c>
      <c r="O13" s="26">
        <v>135</v>
      </c>
      <c r="P13" s="27">
        <v>651000</v>
      </c>
      <c r="Q13" s="27" t="s">
        <v>183</v>
      </c>
      <c r="R13" s="28">
        <v>440000</v>
      </c>
      <c r="S13" s="29">
        <v>87885000</v>
      </c>
      <c r="T13" s="29">
        <f t="shared" si="0"/>
        <v>59400000</v>
      </c>
      <c r="U13" s="30">
        <v>0.22</v>
      </c>
      <c r="V13" s="26" t="s">
        <v>222</v>
      </c>
      <c r="W13" s="31">
        <v>8</v>
      </c>
      <c r="X13" s="28">
        <f t="shared" si="1"/>
        <v>39600000</v>
      </c>
      <c r="Y13" s="32">
        <f>VLOOKUP(Q13,'[3]DATA VALID'!M:O,3,FALSE)</f>
        <v>0.1</v>
      </c>
      <c r="Z13" s="33">
        <f>(R13-VLOOKUP(J13,'[3]DATA VALID'!G:K,5,FALSE))/R13-Y13*1.24</f>
        <v>0.40493249999999992</v>
      </c>
      <c r="AA13" s="33"/>
      <c r="AB13" s="33"/>
      <c r="AC13" s="33"/>
      <c r="AD13" s="33"/>
      <c r="AE13" s="34">
        <f>ROUNDUP(Table2[[#This Row],[ Số lượng trúng thầu ]]*Table2[[#This Row],[Số tháng phát sinh]]/12/9,0)</f>
        <v>10</v>
      </c>
      <c r="AF13" s="34">
        <f>ROUNDUP(Table2[[#This Row],[ Số lượng trúng thầu ]]*Table2[[#This Row],[Số tháng phát sinh]]/12/9,0)</f>
        <v>10</v>
      </c>
      <c r="AG13" s="34">
        <f>ROUNDUP(Table2[[#This Row],[ Số lượng trúng thầu ]]*Table2[[#This Row],[Số tháng phát sinh]]/12/9,0)</f>
        <v>10</v>
      </c>
      <c r="AH13" s="34">
        <f>ROUNDUP(Table2[[#This Row],[ Số lượng trúng thầu ]]*Table2[[#This Row],[Số tháng phát sinh]]/12/9,0)</f>
        <v>10</v>
      </c>
      <c r="AI13" s="34">
        <f>ROUNDUP(Table2[[#This Row],[ Số lượng trúng thầu ]]*Table2[[#This Row],[Số tháng phát sinh]]/12/9,0)</f>
        <v>10</v>
      </c>
      <c r="AJ13" s="34">
        <f>ROUNDUP(Table2[[#This Row],[ Số lượng trúng thầu ]]*Table2[[#This Row],[Số tháng phát sinh]]/12/9,0)</f>
        <v>10</v>
      </c>
      <c r="AK13" s="34">
        <f>ROUNDUP(Table2[[#This Row],[ Số lượng trúng thầu ]]*Table2[[#This Row],[Số tháng phát sinh]]/12/9,0)</f>
        <v>10</v>
      </c>
      <c r="AL13" s="34">
        <f>ROUNDUP(Table2[[#This Row],[ Số lượng trúng thầu ]]*Table2[[#This Row],[Số tháng phát sinh]]/12/9,0)</f>
        <v>10</v>
      </c>
      <c r="AM13" s="34">
        <f>ROUNDUP(Table2[[#This Row],[ Số lượng trúng thầu ]]*Table2[[#This Row],[Số tháng phát sinh]]/12/9,0)</f>
        <v>10</v>
      </c>
      <c r="AN13" s="34">
        <f>ROUNDUP(Table2[[#This Row],[ Số lượng trúng thầu ]]*Table2[[#This Row],[Số tháng phát sinh]]/12/9,0)</f>
        <v>10</v>
      </c>
    </row>
    <row r="14" spans="1:40" x14ac:dyDescent="0.35">
      <c r="A14" s="26">
        <v>7</v>
      </c>
      <c r="B14" s="26">
        <v>2025</v>
      </c>
      <c r="C14" s="26" t="s">
        <v>165</v>
      </c>
      <c r="D14" s="26" t="s">
        <v>189</v>
      </c>
      <c r="E14" s="26" t="s">
        <v>190</v>
      </c>
      <c r="F14" s="26" t="s">
        <v>221</v>
      </c>
      <c r="G14" s="26" t="s">
        <v>48</v>
      </c>
      <c r="H14" s="26" t="s">
        <v>207</v>
      </c>
      <c r="I14" s="26" t="s">
        <v>223</v>
      </c>
      <c r="J14" s="31" t="s">
        <v>6</v>
      </c>
      <c r="K14" s="26" t="s">
        <v>171</v>
      </c>
      <c r="L14" s="26" t="s">
        <v>178</v>
      </c>
      <c r="M14" s="26" t="s">
        <v>173</v>
      </c>
      <c r="N14" s="26">
        <v>1000</v>
      </c>
      <c r="O14" s="26">
        <v>660</v>
      </c>
      <c r="P14" s="27">
        <v>465000</v>
      </c>
      <c r="Q14" s="27" t="s">
        <v>183</v>
      </c>
      <c r="R14" s="28">
        <v>440000</v>
      </c>
      <c r="S14" s="29">
        <v>306900000</v>
      </c>
      <c r="T14" s="29">
        <f t="shared" si="0"/>
        <v>290400000</v>
      </c>
      <c r="U14" s="30">
        <v>0.78</v>
      </c>
      <c r="V14" s="26" t="s">
        <v>224</v>
      </c>
      <c r="W14" s="31">
        <v>8</v>
      </c>
      <c r="X14" s="28">
        <f t="shared" si="1"/>
        <v>193600000</v>
      </c>
      <c r="Y14" s="32">
        <f>VLOOKUP(Q14,'[3]DATA VALID'!M:O,3,FALSE)</f>
        <v>0.1</v>
      </c>
      <c r="Z14" s="33">
        <f>(R14-VLOOKUP(J14,'[3]DATA VALID'!G:K,5,FALSE))/R14-Y14*1.24</f>
        <v>0.40493249999999992</v>
      </c>
      <c r="AA14" s="33"/>
      <c r="AB14" s="33"/>
      <c r="AC14" s="33"/>
      <c r="AD14" s="33"/>
      <c r="AE14" s="34">
        <f>ROUNDUP(Table2[[#This Row],[ Số lượng trúng thầu ]]*Table2[[#This Row],[Số tháng phát sinh]]/12/9,0)</f>
        <v>49</v>
      </c>
      <c r="AF14" s="34">
        <f>ROUNDUP(Table2[[#This Row],[ Số lượng trúng thầu ]]*Table2[[#This Row],[Số tháng phát sinh]]/12/9,0)</f>
        <v>49</v>
      </c>
      <c r="AG14" s="34">
        <f>ROUNDUP(Table2[[#This Row],[ Số lượng trúng thầu ]]*Table2[[#This Row],[Số tháng phát sinh]]/12/9,0)</f>
        <v>49</v>
      </c>
      <c r="AH14" s="34">
        <f>ROUNDUP(Table2[[#This Row],[ Số lượng trúng thầu ]]*Table2[[#This Row],[Số tháng phát sinh]]/12/9,0)</f>
        <v>49</v>
      </c>
      <c r="AI14" s="34">
        <f>ROUNDUP(Table2[[#This Row],[ Số lượng trúng thầu ]]*Table2[[#This Row],[Số tháng phát sinh]]/12/9,0)</f>
        <v>49</v>
      </c>
      <c r="AJ14" s="34">
        <f>ROUNDUP(Table2[[#This Row],[ Số lượng trúng thầu ]]*Table2[[#This Row],[Số tháng phát sinh]]/12/9,0)</f>
        <v>49</v>
      </c>
      <c r="AK14" s="34">
        <f>ROUNDUP(Table2[[#This Row],[ Số lượng trúng thầu ]]*Table2[[#This Row],[Số tháng phát sinh]]/12/9,0)</f>
        <v>49</v>
      </c>
      <c r="AL14" s="34">
        <f>ROUNDUP(Table2[[#This Row],[ Số lượng trúng thầu ]]*Table2[[#This Row],[Số tháng phát sinh]]/12/9,0)</f>
        <v>49</v>
      </c>
      <c r="AM14" s="34">
        <f>ROUNDUP(Table2[[#This Row],[ Số lượng trúng thầu ]]*Table2[[#This Row],[Số tháng phát sinh]]/12/9,0)</f>
        <v>49</v>
      </c>
      <c r="AN14" s="34">
        <f>ROUNDUP(Table2[[#This Row],[ Số lượng trúng thầu ]]*Table2[[#This Row],[Số tháng phát sinh]]/12/9,0)</f>
        <v>49</v>
      </c>
    </row>
    <row r="15" spans="1:40" x14ac:dyDescent="0.35">
      <c r="A15" s="26">
        <v>7</v>
      </c>
      <c r="B15" s="26">
        <v>2025</v>
      </c>
      <c r="C15" s="26" t="s">
        <v>165</v>
      </c>
      <c r="D15" s="26" t="s">
        <v>166</v>
      </c>
      <c r="E15" s="26" t="s">
        <v>225</v>
      </c>
      <c r="F15" s="26" t="s">
        <v>226</v>
      </c>
      <c r="G15" s="26" t="s">
        <v>20</v>
      </c>
      <c r="H15" s="26" t="s">
        <v>176</v>
      </c>
      <c r="I15" s="26" t="s">
        <v>204</v>
      </c>
      <c r="J15" s="26" t="s">
        <v>4</v>
      </c>
      <c r="K15" s="26" t="s">
        <v>171</v>
      </c>
      <c r="L15" s="26" t="s">
        <v>172</v>
      </c>
      <c r="M15" s="26" t="s">
        <v>173</v>
      </c>
      <c r="N15" s="26">
        <v>5000</v>
      </c>
      <c r="O15" s="26">
        <v>500</v>
      </c>
      <c r="P15" s="27">
        <v>1082025</v>
      </c>
      <c r="Q15" s="27" t="s">
        <v>227</v>
      </c>
      <c r="R15" s="28">
        <v>714000</v>
      </c>
      <c r="S15" s="29">
        <v>541012500</v>
      </c>
      <c r="T15" s="29">
        <f t="shared" si="0"/>
        <v>357000000</v>
      </c>
      <c r="U15" s="30">
        <v>0.33</v>
      </c>
      <c r="V15" s="26" t="s">
        <v>228</v>
      </c>
      <c r="W15" s="31">
        <v>8</v>
      </c>
      <c r="X15" s="28">
        <f t="shared" si="1"/>
        <v>238000000</v>
      </c>
      <c r="Y15" s="32">
        <f>VLOOKUP(Q15,'[3]DATA VALID'!M:O,3,FALSE)</f>
        <v>0</v>
      </c>
      <c r="Z15" s="33">
        <f>(R15-VLOOKUP(J15,'[3]DATA VALID'!G:K,5,FALSE))/R15-Y15*1.24</f>
        <v>0.31618907563025211</v>
      </c>
      <c r="AA15" s="33"/>
      <c r="AB15" s="33"/>
      <c r="AC15" s="33"/>
      <c r="AD15" s="33"/>
      <c r="AE15" s="34">
        <f>ROUNDUP(Table2[[#This Row],[ Số lượng trúng thầu ]]*Table2[[#This Row],[Số tháng phát sinh]]/12/9,0)</f>
        <v>38</v>
      </c>
      <c r="AF15" s="34">
        <f>ROUNDUP(Table2[[#This Row],[ Số lượng trúng thầu ]]*Table2[[#This Row],[Số tháng phát sinh]]/12/9,0)</f>
        <v>38</v>
      </c>
      <c r="AG15" s="34">
        <f>ROUNDUP(Table2[[#This Row],[ Số lượng trúng thầu ]]*Table2[[#This Row],[Số tháng phát sinh]]/12/9,0)</f>
        <v>38</v>
      </c>
      <c r="AH15" s="34">
        <f>ROUNDUP(Table2[[#This Row],[ Số lượng trúng thầu ]]*Table2[[#This Row],[Số tháng phát sinh]]/12/9,0)</f>
        <v>38</v>
      </c>
      <c r="AI15" s="34">
        <f>ROUNDUP(Table2[[#This Row],[ Số lượng trúng thầu ]]*Table2[[#This Row],[Số tháng phát sinh]]/12/9,0)</f>
        <v>38</v>
      </c>
      <c r="AJ15" s="34">
        <f>ROUNDUP(Table2[[#This Row],[ Số lượng trúng thầu ]]*Table2[[#This Row],[Số tháng phát sinh]]/12/9,0)</f>
        <v>38</v>
      </c>
      <c r="AK15" s="34">
        <f>ROUNDUP(Table2[[#This Row],[ Số lượng trúng thầu ]]*Table2[[#This Row],[Số tháng phát sinh]]/12/9,0)</f>
        <v>38</v>
      </c>
      <c r="AL15" s="34">
        <f>ROUNDUP(Table2[[#This Row],[ Số lượng trúng thầu ]]*Table2[[#This Row],[Số tháng phát sinh]]/12/9,0)</f>
        <v>38</v>
      </c>
      <c r="AM15" s="34">
        <f>ROUNDUP(Table2[[#This Row],[ Số lượng trúng thầu ]]*Table2[[#This Row],[Số tháng phát sinh]]/12/9,0)</f>
        <v>38</v>
      </c>
      <c r="AN15" s="34">
        <f>ROUNDUP(Table2[[#This Row],[ Số lượng trúng thầu ]]*Table2[[#This Row],[Số tháng phát sinh]]/12/9,0)</f>
        <v>38</v>
      </c>
    </row>
    <row r="16" spans="1:40" x14ac:dyDescent="0.35">
      <c r="A16" s="26">
        <v>7</v>
      </c>
      <c r="B16" s="26">
        <v>2025</v>
      </c>
      <c r="C16" s="26" t="s">
        <v>165</v>
      </c>
      <c r="D16" s="26" t="s">
        <v>166</v>
      </c>
      <c r="E16" s="26" t="s">
        <v>225</v>
      </c>
      <c r="F16" s="26" t="s">
        <v>226</v>
      </c>
      <c r="G16" s="26" t="s">
        <v>20</v>
      </c>
      <c r="H16" s="26" t="s">
        <v>176</v>
      </c>
      <c r="I16" s="26" t="s">
        <v>209</v>
      </c>
      <c r="J16" s="26" t="s">
        <v>7</v>
      </c>
      <c r="K16" s="26" t="s">
        <v>171</v>
      </c>
      <c r="L16" s="26" t="s">
        <v>178</v>
      </c>
      <c r="M16" s="26" t="s">
        <v>173</v>
      </c>
      <c r="N16" s="26">
        <v>5000</v>
      </c>
      <c r="O16" s="26">
        <v>60</v>
      </c>
      <c r="P16" s="27">
        <v>2173500</v>
      </c>
      <c r="Q16" s="27" t="s">
        <v>227</v>
      </c>
      <c r="R16" s="27">
        <v>1260000</v>
      </c>
      <c r="S16" s="29">
        <v>130410000</v>
      </c>
      <c r="T16" s="29">
        <f t="shared" si="0"/>
        <v>75600000</v>
      </c>
      <c r="U16" s="30">
        <v>0.08</v>
      </c>
      <c r="V16" s="26" t="s">
        <v>228</v>
      </c>
      <c r="W16" s="31">
        <v>8</v>
      </c>
      <c r="X16" s="28">
        <f t="shared" si="1"/>
        <v>50400000</v>
      </c>
      <c r="Y16" s="32">
        <f>VLOOKUP(Q16,'[3]DATA VALID'!M:O,3,FALSE)</f>
        <v>0</v>
      </c>
      <c r="Z16" s="33">
        <f>(R16-VLOOKUP(J16,'[3]DATA VALID'!G:K,5,FALSE))/R16-Y16*1.24</f>
        <v>0.27334261904761892</v>
      </c>
      <c r="AA16" s="33"/>
      <c r="AB16" s="33"/>
      <c r="AC16" s="33"/>
      <c r="AD16" s="33"/>
      <c r="AE16" s="34">
        <f>ROUNDUP(Table2[[#This Row],[ Số lượng trúng thầu ]]*Table2[[#This Row],[Số tháng phát sinh]]/12/9,0)</f>
        <v>5</v>
      </c>
      <c r="AF16" s="34">
        <f>ROUNDUP(Table2[[#This Row],[ Số lượng trúng thầu ]]*Table2[[#This Row],[Số tháng phát sinh]]/12/9,0)</f>
        <v>5</v>
      </c>
      <c r="AG16" s="34">
        <f>ROUNDUP(Table2[[#This Row],[ Số lượng trúng thầu ]]*Table2[[#This Row],[Số tháng phát sinh]]/12/9,0)</f>
        <v>5</v>
      </c>
      <c r="AH16" s="34">
        <f>ROUNDUP(Table2[[#This Row],[ Số lượng trúng thầu ]]*Table2[[#This Row],[Số tháng phát sinh]]/12/9,0)</f>
        <v>5</v>
      </c>
      <c r="AI16" s="34">
        <f>ROUNDUP(Table2[[#This Row],[ Số lượng trúng thầu ]]*Table2[[#This Row],[Số tháng phát sinh]]/12/9,0)</f>
        <v>5</v>
      </c>
      <c r="AJ16" s="34">
        <f>ROUNDUP(Table2[[#This Row],[ Số lượng trúng thầu ]]*Table2[[#This Row],[Số tháng phát sinh]]/12/9,0)</f>
        <v>5</v>
      </c>
      <c r="AK16" s="34">
        <f>ROUNDUP(Table2[[#This Row],[ Số lượng trúng thầu ]]*Table2[[#This Row],[Số tháng phát sinh]]/12/9,0)</f>
        <v>5</v>
      </c>
      <c r="AL16" s="34">
        <f>ROUNDUP(Table2[[#This Row],[ Số lượng trúng thầu ]]*Table2[[#This Row],[Số tháng phát sinh]]/12/9,0)</f>
        <v>5</v>
      </c>
      <c r="AM16" s="34">
        <f>ROUNDUP(Table2[[#This Row],[ Số lượng trúng thầu ]]*Table2[[#This Row],[Số tháng phát sinh]]/12/9,0)</f>
        <v>5</v>
      </c>
      <c r="AN16" s="34">
        <f>ROUNDUP(Table2[[#This Row],[ Số lượng trúng thầu ]]*Table2[[#This Row],[Số tháng phát sinh]]/12/9,0)</f>
        <v>5</v>
      </c>
    </row>
    <row r="17" spans="1:40" x14ac:dyDescent="0.35">
      <c r="A17" s="26">
        <v>7</v>
      </c>
      <c r="B17" s="26">
        <v>2025</v>
      </c>
      <c r="C17" s="26" t="s">
        <v>165</v>
      </c>
      <c r="D17" s="26" t="s">
        <v>166</v>
      </c>
      <c r="E17" s="26" t="s">
        <v>225</v>
      </c>
      <c r="F17" s="26" t="s">
        <v>226</v>
      </c>
      <c r="G17" s="26" t="s">
        <v>20</v>
      </c>
      <c r="H17" s="26" t="s">
        <v>176</v>
      </c>
      <c r="I17" s="26" t="s">
        <v>191</v>
      </c>
      <c r="J17" s="26" t="s">
        <v>11</v>
      </c>
      <c r="K17" s="26" t="s">
        <v>171</v>
      </c>
      <c r="L17" s="26" t="s">
        <v>172</v>
      </c>
      <c r="M17" s="26" t="s">
        <v>173</v>
      </c>
      <c r="N17" s="26">
        <v>5000</v>
      </c>
      <c r="O17" s="26">
        <v>173</v>
      </c>
      <c r="P17" s="27">
        <v>450000</v>
      </c>
      <c r="Q17" s="27" t="s">
        <v>227</v>
      </c>
      <c r="R17" s="27">
        <v>360297</v>
      </c>
      <c r="S17" s="29">
        <v>77850000</v>
      </c>
      <c r="T17" s="29">
        <f t="shared" si="0"/>
        <v>62331381</v>
      </c>
      <c r="U17" s="30">
        <v>0.05</v>
      </c>
      <c r="V17" s="26" t="s">
        <v>228</v>
      </c>
      <c r="W17" s="31">
        <v>8</v>
      </c>
      <c r="X17" s="28">
        <f t="shared" si="1"/>
        <v>41554254</v>
      </c>
      <c r="Y17" s="32">
        <f>VLOOKUP(Q17,'[3]DATA VALID'!M:O,3,FALSE)</f>
        <v>0</v>
      </c>
      <c r="Z17" s="33">
        <f>(R17-VLOOKUP(J17,'[3]DATA VALID'!G:K,5,FALSE))/R17-Y17*1.24</f>
        <v>0.46811380610995929</v>
      </c>
      <c r="AA17" s="33"/>
      <c r="AB17" s="33"/>
      <c r="AC17" s="33"/>
      <c r="AD17" s="33"/>
      <c r="AE17" s="34">
        <f>ROUNDUP(Table2[[#This Row],[ Số lượng trúng thầu ]]*Table2[[#This Row],[Số tháng phát sinh]]/12/9,0)</f>
        <v>13</v>
      </c>
      <c r="AF17" s="34">
        <f>ROUNDUP(Table2[[#This Row],[ Số lượng trúng thầu ]]*Table2[[#This Row],[Số tháng phát sinh]]/12/9,0)</f>
        <v>13</v>
      </c>
      <c r="AG17" s="34">
        <f>ROUNDUP(Table2[[#This Row],[ Số lượng trúng thầu ]]*Table2[[#This Row],[Số tháng phát sinh]]/12/9,0)</f>
        <v>13</v>
      </c>
      <c r="AH17" s="34">
        <f>ROUNDUP(Table2[[#This Row],[ Số lượng trúng thầu ]]*Table2[[#This Row],[Số tháng phát sinh]]/12/9,0)</f>
        <v>13</v>
      </c>
      <c r="AI17" s="34">
        <f>ROUNDUP(Table2[[#This Row],[ Số lượng trúng thầu ]]*Table2[[#This Row],[Số tháng phát sinh]]/12/9,0)</f>
        <v>13</v>
      </c>
      <c r="AJ17" s="34">
        <f>ROUNDUP(Table2[[#This Row],[ Số lượng trúng thầu ]]*Table2[[#This Row],[Số tháng phát sinh]]/12/9,0)</f>
        <v>13</v>
      </c>
      <c r="AK17" s="34">
        <f>ROUNDUP(Table2[[#This Row],[ Số lượng trúng thầu ]]*Table2[[#This Row],[Số tháng phát sinh]]/12/9,0)</f>
        <v>13</v>
      </c>
      <c r="AL17" s="34">
        <f>ROUNDUP(Table2[[#This Row],[ Số lượng trúng thầu ]]*Table2[[#This Row],[Số tháng phát sinh]]/12/9,0)</f>
        <v>13</v>
      </c>
      <c r="AM17" s="34">
        <f>ROUNDUP(Table2[[#This Row],[ Số lượng trúng thầu ]]*Table2[[#This Row],[Số tháng phát sinh]]/12/9,0)</f>
        <v>13</v>
      </c>
      <c r="AN17" s="34">
        <f>ROUNDUP(Table2[[#This Row],[ Số lượng trúng thầu ]]*Table2[[#This Row],[Số tháng phát sinh]]/12/9,0)</f>
        <v>13</v>
      </c>
    </row>
    <row r="18" spans="1:40" x14ac:dyDescent="0.35">
      <c r="A18" s="26">
        <v>7</v>
      </c>
      <c r="B18" s="26">
        <v>2025</v>
      </c>
      <c r="C18" s="26" t="s">
        <v>165</v>
      </c>
      <c r="D18" s="26" t="s">
        <v>189</v>
      </c>
      <c r="E18" s="26" t="s">
        <v>208</v>
      </c>
      <c r="F18" s="26" t="s">
        <v>229</v>
      </c>
      <c r="G18" s="26" t="s">
        <v>24</v>
      </c>
      <c r="H18" s="26" t="s">
        <v>176</v>
      </c>
      <c r="I18" s="26" t="s">
        <v>204</v>
      </c>
      <c r="J18" s="26" t="s">
        <v>4</v>
      </c>
      <c r="K18" s="26" t="s">
        <v>171</v>
      </c>
      <c r="L18" s="26" t="s">
        <v>172</v>
      </c>
      <c r="M18" s="26" t="s">
        <v>173</v>
      </c>
      <c r="N18" s="26">
        <v>5000</v>
      </c>
      <c r="O18" s="26">
        <v>50</v>
      </c>
      <c r="P18" s="27">
        <v>1125000</v>
      </c>
      <c r="Q18" s="27" t="s">
        <v>183</v>
      </c>
      <c r="R18" s="28">
        <v>980000</v>
      </c>
      <c r="S18" s="29">
        <v>56250000</v>
      </c>
      <c r="T18" s="29">
        <f t="shared" si="0"/>
        <v>49000000</v>
      </c>
      <c r="U18" s="30">
        <v>0.38</v>
      </c>
      <c r="V18" s="26" t="s">
        <v>230</v>
      </c>
      <c r="W18" s="31">
        <v>8</v>
      </c>
      <c r="X18" s="28">
        <f t="shared" si="1"/>
        <v>32666666.666666668</v>
      </c>
      <c r="Y18" s="32">
        <f>VLOOKUP(Q18,'[3]DATA VALID'!M:O,3,FALSE)</f>
        <v>0.1</v>
      </c>
      <c r="Z18" s="33">
        <f>(R18-VLOOKUP(J18,'[3]DATA VALID'!G:K,5,FALSE))/R18-Y18*1.24</f>
        <v>0.37779489795918364</v>
      </c>
      <c r="AA18" s="33"/>
      <c r="AB18" s="33"/>
      <c r="AC18" s="33"/>
      <c r="AD18" s="33"/>
      <c r="AE18" s="34">
        <f>ROUNDUP(Table2[[#This Row],[ Số lượng trúng thầu ]]*Table2[[#This Row],[Số tháng phát sinh]]/12/9,0)</f>
        <v>4</v>
      </c>
      <c r="AF18" s="34">
        <f>ROUNDUP(Table2[[#This Row],[ Số lượng trúng thầu ]]*Table2[[#This Row],[Số tháng phát sinh]]/12/9,0)</f>
        <v>4</v>
      </c>
      <c r="AG18" s="34">
        <f>ROUNDUP(Table2[[#This Row],[ Số lượng trúng thầu ]]*Table2[[#This Row],[Số tháng phát sinh]]/12/9,0)</f>
        <v>4</v>
      </c>
      <c r="AH18" s="34">
        <f>ROUNDUP(Table2[[#This Row],[ Số lượng trúng thầu ]]*Table2[[#This Row],[Số tháng phát sinh]]/12/9,0)</f>
        <v>4</v>
      </c>
      <c r="AI18" s="34">
        <f>ROUNDUP(Table2[[#This Row],[ Số lượng trúng thầu ]]*Table2[[#This Row],[Số tháng phát sinh]]/12/9,0)</f>
        <v>4</v>
      </c>
      <c r="AJ18" s="34">
        <f>ROUNDUP(Table2[[#This Row],[ Số lượng trúng thầu ]]*Table2[[#This Row],[Số tháng phát sinh]]/12/9,0)</f>
        <v>4</v>
      </c>
      <c r="AK18" s="34">
        <f>ROUNDUP(Table2[[#This Row],[ Số lượng trúng thầu ]]*Table2[[#This Row],[Số tháng phát sinh]]/12/9,0)</f>
        <v>4</v>
      </c>
      <c r="AL18" s="34">
        <f>ROUNDUP(Table2[[#This Row],[ Số lượng trúng thầu ]]*Table2[[#This Row],[Số tháng phát sinh]]/12/9,0)</f>
        <v>4</v>
      </c>
      <c r="AM18" s="34">
        <f>ROUNDUP(Table2[[#This Row],[ Số lượng trúng thầu ]]*Table2[[#This Row],[Số tháng phát sinh]]/12/9,0)</f>
        <v>4</v>
      </c>
      <c r="AN18" s="34">
        <f>ROUNDUP(Table2[[#This Row],[ Số lượng trúng thầu ]]*Table2[[#This Row],[Số tháng phát sinh]]/12/9,0)</f>
        <v>4</v>
      </c>
    </row>
    <row r="19" spans="1:40" x14ac:dyDescent="0.35">
      <c r="A19" s="26">
        <v>7</v>
      </c>
      <c r="B19" s="26">
        <v>2025</v>
      </c>
      <c r="C19" s="26" t="s">
        <v>165</v>
      </c>
      <c r="D19" s="26" t="s">
        <v>166</v>
      </c>
      <c r="E19" s="26" t="s">
        <v>180</v>
      </c>
      <c r="F19" s="26" t="s">
        <v>231</v>
      </c>
      <c r="G19" s="26" t="s">
        <v>32</v>
      </c>
      <c r="H19" s="26" t="s">
        <v>176</v>
      </c>
      <c r="I19" s="26" t="s">
        <v>177</v>
      </c>
      <c r="J19" s="31" t="s">
        <v>12</v>
      </c>
      <c r="K19" s="26" t="s">
        <v>171</v>
      </c>
      <c r="L19" s="26" t="s">
        <v>178</v>
      </c>
      <c r="M19" s="26" t="s">
        <v>173</v>
      </c>
      <c r="N19" s="26">
        <v>1000</v>
      </c>
      <c r="O19" s="26">
        <v>408</v>
      </c>
      <c r="P19" s="27">
        <v>323900</v>
      </c>
      <c r="Q19" s="27" t="s">
        <v>183</v>
      </c>
      <c r="R19" s="28">
        <v>320000</v>
      </c>
      <c r="S19" s="29">
        <v>132151200</v>
      </c>
      <c r="T19" s="29">
        <f t="shared" si="0"/>
        <v>130560000</v>
      </c>
      <c r="U19" s="30">
        <v>1</v>
      </c>
      <c r="V19" s="26" t="s">
        <v>232</v>
      </c>
      <c r="W19" s="31">
        <v>8</v>
      </c>
      <c r="X19" s="28">
        <f t="shared" si="1"/>
        <v>87040000</v>
      </c>
      <c r="Y19" s="32">
        <f>VLOOKUP(Q19,'[3]DATA VALID'!M:O,3,FALSE)</f>
        <v>0.1</v>
      </c>
      <c r="Z19" s="33">
        <f>(R19-VLOOKUP(J19,'[3]DATA VALID'!G:K,5,FALSE))/R19-Y19*1.24</f>
        <v>0.44766562499999996</v>
      </c>
      <c r="AA19" s="33"/>
      <c r="AB19" s="33"/>
      <c r="AC19" s="33"/>
      <c r="AD19" s="33"/>
      <c r="AE19" s="34">
        <f>ROUNDUP(Table2[[#This Row],[ Số lượng trúng thầu ]]*Table2[[#This Row],[Số tháng phát sinh]]/12/9,0)</f>
        <v>31</v>
      </c>
      <c r="AF19" s="34">
        <f>ROUNDUP(Table2[[#This Row],[ Số lượng trúng thầu ]]*Table2[[#This Row],[Số tháng phát sinh]]/12/9,0)</f>
        <v>31</v>
      </c>
      <c r="AG19" s="34">
        <f>ROUNDUP(Table2[[#This Row],[ Số lượng trúng thầu ]]*Table2[[#This Row],[Số tháng phát sinh]]/12/9,0)</f>
        <v>31</v>
      </c>
      <c r="AH19" s="34">
        <f>ROUNDUP(Table2[[#This Row],[ Số lượng trúng thầu ]]*Table2[[#This Row],[Số tháng phát sinh]]/12/9,0)</f>
        <v>31</v>
      </c>
      <c r="AI19" s="34">
        <f>ROUNDUP(Table2[[#This Row],[ Số lượng trúng thầu ]]*Table2[[#This Row],[Số tháng phát sinh]]/12/9,0)</f>
        <v>31</v>
      </c>
      <c r="AJ19" s="34">
        <f>ROUNDUP(Table2[[#This Row],[ Số lượng trúng thầu ]]*Table2[[#This Row],[Số tháng phát sinh]]/12/9,0)</f>
        <v>31</v>
      </c>
      <c r="AK19" s="34">
        <f>ROUNDUP(Table2[[#This Row],[ Số lượng trúng thầu ]]*Table2[[#This Row],[Số tháng phát sinh]]/12/9,0)</f>
        <v>31</v>
      </c>
      <c r="AL19" s="34">
        <f>ROUNDUP(Table2[[#This Row],[ Số lượng trúng thầu ]]*Table2[[#This Row],[Số tháng phát sinh]]/12/9,0)</f>
        <v>31</v>
      </c>
      <c r="AM19" s="34">
        <f>ROUNDUP(Table2[[#This Row],[ Số lượng trúng thầu ]]*Table2[[#This Row],[Số tháng phát sinh]]/12/9,0)</f>
        <v>31</v>
      </c>
      <c r="AN19" s="34">
        <f>ROUNDUP(Table2[[#This Row],[ Số lượng trúng thầu ]]*Table2[[#This Row],[Số tháng phát sinh]]/12/9,0)</f>
        <v>31</v>
      </c>
    </row>
    <row r="20" spans="1:40" x14ac:dyDescent="0.35">
      <c r="A20" s="26">
        <v>7</v>
      </c>
      <c r="B20" s="26">
        <v>2025</v>
      </c>
      <c r="C20" s="26" t="s">
        <v>165</v>
      </c>
      <c r="D20" s="26" t="s">
        <v>166</v>
      </c>
      <c r="E20" s="26" t="s">
        <v>180</v>
      </c>
      <c r="F20" s="26" t="s">
        <v>233</v>
      </c>
      <c r="G20" s="26" t="s">
        <v>32</v>
      </c>
      <c r="H20" s="26" t="s">
        <v>176</v>
      </c>
      <c r="I20" s="26" t="s">
        <v>182</v>
      </c>
      <c r="J20" s="31" t="s">
        <v>5</v>
      </c>
      <c r="K20" s="26" t="s">
        <v>171</v>
      </c>
      <c r="L20" s="26" t="s">
        <v>178</v>
      </c>
      <c r="M20" s="26" t="s">
        <v>173</v>
      </c>
      <c r="N20" s="26">
        <v>1000</v>
      </c>
      <c r="O20" s="27">
        <v>1092</v>
      </c>
      <c r="P20" s="27">
        <v>569500</v>
      </c>
      <c r="Q20" s="27" t="s">
        <v>183</v>
      </c>
      <c r="R20" s="27">
        <v>530000</v>
      </c>
      <c r="S20" s="29">
        <v>621894000</v>
      </c>
      <c r="T20" s="29">
        <f t="shared" si="0"/>
        <v>578760000</v>
      </c>
      <c r="U20" s="30">
        <v>1</v>
      </c>
      <c r="V20" s="26" t="s">
        <v>234</v>
      </c>
      <c r="W20" s="31">
        <v>8</v>
      </c>
      <c r="X20" s="28">
        <f t="shared" si="1"/>
        <v>385840000</v>
      </c>
      <c r="Y20" s="32">
        <f>VLOOKUP(Q20,'[3]DATA VALID'!M:O,3,FALSE)</f>
        <v>0.1</v>
      </c>
      <c r="Z20" s="33">
        <f>(R20-VLOOKUP(J20,'[3]DATA VALID'!G:K,5,FALSE))/R20-Y20*1.24</f>
        <v>0.41266981132075475</v>
      </c>
      <c r="AA20" s="33"/>
      <c r="AB20" s="33"/>
      <c r="AC20" s="33"/>
      <c r="AD20" s="33"/>
      <c r="AE20" s="34">
        <f>ROUNDUP(Table2[[#This Row],[ Số lượng trúng thầu ]]*Table2[[#This Row],[Số tháng phát sinh]]/12/9,0)</f>
        <v>81</v>
      </c>
      <c r="AF20" s="34">
        <f>ROUNDUP(Table2[[#This Row],[ Số lượng trúng thầu ]]*Table2[[#This Row],[Số tháng phát sinh]]/12/9,0)</f>
        <v>81</v>
      </c>
      <c r="AG20" s="34">
        <f>ROUNDUP(Table2[[#This Row],[ Số lượng trúng thầu ]]*Table2[[#This Row],[Số tháng phát sinh]]/12/9,0)</f>
        <v>81</v>
      </c>
      <c r="AH20" s="34">
        <f>ROUNDUP(Table2[[#This Row],[ Số lượng trúng thầu ]]*Table2[[#This Row],[Số tháng phát sinh]]/12/9,0)</f>
        <v>81</v>
      </c>
      <c r="AI20" s="34">
        <f>ROUNDUP(Table2[[#This Row],[ Số lượng trúng thầu ]]*Table2[[#This Row],[Số tháng phát sinh]]/12/9,0)</f>
        <v>81</v>
      </c>
      <c r="AJ20" s="34">
        <f>ROUNDUP(Table2[[#This Row],[ Số lượng trúng thầu ]]*Table2[[#This Row],[Số tháng phát sinh]]/12/9,0)</f>
        <v>81</v>
      </c>
      <c r="AK20" s="34">
        <f>ROUNDUP(Table2[[#This Row],[ Số lượng trúng thầu ]]*Table2[[#This Row],[Số tháng phát sinh]]/12/9,0)</f>
        <v>81</v>
      </c>
      <c r="AL20" s="34">
        <f>ROUNDUP(Table2[[#This Row],[ Số lượng trúng thầu ]]*Table2[[#This Row],[Số tháng phát sinh]]/12/9,0)</f>
        <v>81</v>
      </c>
      <c r="AM20" s="34">
        <f>ROUNDUP(Table2[[#This Row],[ Số lượng trúng thầu ]]*Table2[[#This Row],[Số tháng phát sinh]]/12/9,0)</f>
        <v>81</v>
      </c>
      <c r="AN20" s="34">
        <f>ROUNDUP(Table2[[#This Row],[ Số lượng trúng thầu ]]*Table2[[#This Row],[Số tháng phát sinh]]/12/9,0)</f>
        <v>81</v>
      </c>
    </row>
    <row r="21" spans="1:40" x14ac:dyDescent="0.35">
      <c r="A21" s="26">
        <v>7</v>
      </c>
      <c r="B21" s="26">
        <v>2025</v>
      </c>
      <c r="C21" s="26" t="s">
        <v>165</v>
      </c>
      <c r="D21" s="26" t="s">
        <v>166</v>
      </c>
      <c r="E21" s="26" t="s">
        <v>180</v>
      </c>
      <c r="F21" s="26" t="s">
        <v>235</v>
      </c>
      <c r="G21" s="26" t="s">
        <v>32</v>
      </c>
      <c r="H21" s="26" t="s">
        <v>176</v>
      </c>
      <c r="I21" s="26" t="s">
        <v>182</v>
      </c>
      <c r="J21" s="31" t="s">
        <v>5</v>
      </c>
      <c r="K21" s="26" t="s">
        <v>171</v>
      </c>
      <c r="L21" s="26" t="s">
        <v>178</v>
      </c>
      <c r="M21" s="26" t="s">
        <v>173</v>
      </c>
      <c r="N21" s="26">
        <v>1000</v>
      </c>
      <c r="O21" s="26">
        <v>72</v>
      </c>
      <c r="P21" s="27">
        <v>517900</v>
      </c>
      <c r="Q21" s="27" t="s">
        <v>183</v>
      </c>
      <c r="R21" s="27">
        <v>530000</v>
      </c>
      <c r="S21" s="29">
        <v>37288800</v>
      </c>
      <c r="T21" s="29">
        <f t="shared" si="0"/>
        <v>38160000</v>
      </c>
      <c r="U21" s="30">
        <v>1</v>
      </c>
      <c r="V21" s="26" t="s">
        <v>236</v>
      </c>
      <c r="W21" s="31">
        <v>8</v>
      </c>
      <c r="X21" s="28">
        <f t="shared" si="1"/>
        <v>25440000</v>
      </c>
      <c r="Y21" s="32">
        <f>VLOOKUP(Q21,'[3]DATA VALID'!M:O,3,FALSE)</f>
        <v>0.1</v>
      </c>
      <c r="Z21" s="33">
        <f>(R21-VLOOKUP(J21,'[3]DATA VALID'!G:K,5,FALSE))/R21-Y21*1.24</f>
        <v>0.41266981132075475</v>
      </c>
      <c r="AA21" s="33"/>
      <c r="AB21" s="33"/>
      <c r="AC21" s="33"/>
      <c r="AD21" s="33"/>
      <c r="AE21" s="34">
        <f>ROUNDUP(Table2[[#This Row],[ Số lượng trúng thầu ]]*Table2[[#This Row],[Số tháng phát sinh]]/12/9,0)</f>
        <v>6</v>
      </c>
      <c r="AF21" s="34">
        <f>ROUNDUP(Table2[[#This Row],[ Số lượng trúng thầu ]]*Table2[[#This Row],[Số tháng phát sinh]]/12/9,0)</f>
        <v>6</v>
      </c>
      <c r="AG21" s="34">
        <f>ROUNDUP(Table2[[#This Row],[ Số lượng trúng thầu ]]*Table2[[#This Row],[Số tháng phát sinh]]/12/9,0)</f>
        <v>6</v>
      </c>
      <c r="AH21" s="34">
        <f>ROUNDUP(Table2[[#This Row],[ Số lượng trúng thầu ]]*Table2[[#This Row],[Số tháng phát sinh]]/12/9,0)</f>
        <v>6</v>
      </c>
      <c r="AI21" s="34">
        <f>ROUNDUP(Table2[[#This Row],[ Số lượng trúng thầu ]]*Table2[[#This Row],[Số tháng phát sinh]]/12/9,0)</f>
        <v>6</v>
      </c>
      <c r="AJ21" s="34">
        <f>ROUNDUP(Table2[[#This Row],[ Số lượng trúng thầu ]]*Table2[[#This Row],[Số tháng phát sinh]]/12/9,0)</f>
        <v>6</v>
      </c>
      <c r="AK21" s="34">
        <f>ROUNDUP(Table2[[#This Row],[ Số lượng trúng thầu ]]*Table2[[#This Row],[Số tháng phát sinh]]/12/9,0)</f>
        <v>6</v>
      </c>
      <c r="AL21" s="34">
        <f>ROUNDUP(Table2[[#This Row],[ Số lượng trúng thầu ]]*Table2[[#This Row],[Số tháng phát sinh]]/12/9,0)</f>
        <v>6</v>
      </c>
      <c r="AM21" s="34">
        <f>ROUNDUP(Table2[[#This Row],[ Số lượng trúng thầu ]]*Table2[[#This Row],[Số tháng phát sinh]]/12/9,0)</f>
        <v>6</v>
      </c>
      <c r="AN21" s="34">
        <f>ROUNDUP(Table2[[#This Row],[ Số lượng trúng thầu ]]*Table2[[#This Row],[Số tháng phát sinh]]/12/9,0)</f>
        <v>6</v>
      </c>
    </row>
    <row r="22" spans="1:40" x14ac:dyDescent="0.35">
      <c r="A22" s="26">
        <v>7</v>
      </c>
      <c r="B22" s="26">
        <v>2025</v>
      </c>
      <c r="C22" s="26" t="s">
        <v>165</v>
      </c>
      <c r="D22" s="26" t="s">
        <v>166</v>
      </c>
      <c r="E22" s="26" t="s">
        <v>180</v>
      </c>
      <c r="F22" s="26" t="s">
        <v>237</v>
      </c>
      <c r="G22" s="26" t="s">
        <v>32</v>
      </c>
      <c r="H22" s="26" t="s">
        <v>176</v>
      </c>
      <c r="I22" s="26" t="s">
        <v>204</v>
      </c>
      <c r="J22" s="26" t="s">
        <v>4</v>
      </c>
      <c r="K22" s="26" t="s">
        <v>171</v>
      </c>
      <c r="L22" s="26" t="s">
        <v>172</v>
      </c>
      <c r="M22" s="26" t="s">
        <v>173</v>
      </c>
      <c r="N22" s="26">
        <v>5000</v>
      </c>
      <c r="O22" s="27">
        <v>1980</v>
      </c>
      <c r="P22" s="27">
        <v>212820</v>
      </c>
      <c r="Q22" s="27" t="s">
        <v>183</v>
      </c>
      <c r="R22" s="28">
        <f>980000/5</f>
        <v>196000</v>
      </c>
      <c r="S22" s="29">
        <v>421383600</v>
      </c>
      <c r="T22" s="29">
        <f t="shared" si="0"/>
        <v>388080000</v>
      </c>
      <c r="U22" s="30">
        <v>1</v>
      </c>
      <c r="V22" s="26" t="s">
        <v>238</v>
      </c>
      <c r="W22" s="31">
        <v>8</v>
      </c>
      <c r="X22" s="28">
        <f t="shared" si="1"/>
        <v>258720000</v>
      </c>
      <c r="Y22" s="32">
        <f>VLOOKUP(Q22,'[3]DATA VALID'!M:O,3,FALSE)</f>
        <v>0.1</v>
      </c>
      <c r="Z22" s="33">
        <f>(R22*5-VLOOKUP(J22,'[3]DATA VALID'!G:K,5,FALSE))/(R22*5)-Y22*1.24</f>
        <v>0.37779489795918364</v>
      </c>
      <c r="AA22" s="33"/>
      <c r="AB22" s="33"/>
      <c r="AC22" s="33"/>
      <c r="AD22" s="33"/>
      <c r="AE22" s="34">
        <f>ROUNDUP(Table2[[#This Row],[ Số lượng trúng thầu ]]*Table2[[#This Row],[Số tháng phát sinh]]/12/9,0)</f>
        <v>147</v>
      </c>
      <c r="AF22" s="34">
        <f>ROUNDUP(Table2[[#This Row],[ Số lượng trúng thầu ]]*Table2[[#This Row],[Số tháng phát sinh]]/12/9,0)</f>
        <v>147</v>
      </c>
      <c r="AG22" s="34">
        <f>ROUNDUP(Table2[[#This Row],[ Số lượng trúng thầu ]]*Table2[[#This Row],[Số tháng phát sinh]]/12/9,0)</f>
        <v>147</v>
      </c>
      <c r="AH22" s="34">
        <f>ROUNDUP(Table2[[#This Row],[ Số lượng trúng thầu ]]*Table2[[#This Row],[Số tháng phát sinh]]/12/9,0)</f>
        <v>147</v>
      </c>
      <c r="AI22" s="34">
        <f>ROUNDUP(Table2[[#This Row],[ Số lượng trúng thầu ]]*Table2[[#This Row],[Số tháng phát sinh]]/12/9,0)</f>
        <v>147</v>
      </c>
      <c r="AJ22" s="34">
        <f>ROUNDUP(Table2[[#This Row],[ Số lượng trúng thầu ]]*Table2[[#This Row],[Số tháng phát sinh]]/12/9,0)</f>
        <v>147</v>
      </c>
      <c r="AK22" s="34">
        <f>ROUNDUP(Table2[[#This Row],[ Số lượng trúng thầu ]]*Table2[[#This Row],[Số tháng phát sinh]]/12/9,0)</f>
        <v>147</v>
      </c>
      <c r="AL22" s="34">
        <f>ROUNDUP(Table2[[#This Row],[ Số lượng trúng thầu ]]*Table2[[#This Row],[Số tháng phát sinh]]/12/9,0)</f>
        <v>147</v>
      </c>
      <c r="AM22" s="34">
        <f>ROUNDUP(Table2[[#This Row],[ Số lượng trúng thầu ]]*Table2[[#This Row],[Số tháng phát sinh]]/12/9,0)</f>
        <v>147</v>
      </c>
      <c r="AN22" s="34">
        <f>ROUNDUP(Table2[[#This Row],[ Số lượng trúng thầu ]]*Table2[[#This Row],[Số tháng phát sinh]]/12/9,0)</f>
        <v>147</v>
      </c>
    </row>
    <row r="23" spans="1:40" x14ac:dyDescent="0.35">
      <c r="A23" s="26">
        <v>7</v>
      </c>
      <c r="B23" s="26">
        <v>2025</v>
      </c>
      <c r="C23" s="26" t="s">
        <v>165</v>
      </c>
      <c r="D23" s="26" t="s">
        <v>166</v>
      </c>
      <c r="E23" s="26" t="s">
        <v>180</v>
      </c>
      <c r="F23" s="26" t="s">
        <v>239</v>
      </c>
      <c r="G23" s="26" t="s">
        <v>32</v>
      </c>
      <c r="H23" s="26" t="s">
        <v>176</v>
      </c>
      <c r="I23" s="26" t="s">
        <v>209</v>
      </c>
      <c r="J23" s="26" t="s">
        <v>7</v>
      </c>
      <c r="K23" s="26" t="s">
        <v>171</v>
      </c>
      <c r="L23" s="26" t="s">
        <v>178</v>
      </c>
      <c r="M23" s="26" t="s">
        <v>173</v>
      </c>
      <c r="N23" s="26">
        <v>5000</v>
      </c>
      <c r="O23" s="26">
        <v>720</v>
      </c>
      <c r="P23" s="27">
        <v>421000</v>
      </c>
      <c r="Q23" s="27" t="s">
        <v>183</v>
      </c>
      <c r="R23" s="28">
        <v>440000</v>
      </c>
      <c r="S23" s="29">
        <v>303120000</v>
      </c>
      <c r="T23" s="29">
        <f t="shared" si="0"/>
        <v>316800000</v>
      </c>
      <c r="U23" s="30">
        <v>1</v>
      </c>
      <c r="V23" s="26" t="s">
        <v>240</v>
      </c>
      <c r="W23" s="31">
        <v>8</v>
      </c>
      <c r="X23" s="28">
        <f t="shared" si="1"/>
        <v>211200000</v>
      </c>
      <c r="Y23" s="32">
        <f>VLOOKUP(Q23,'[3]DATA VALID'!M:O,3,FALSE)</f>
        <v>0.1</v>
      </c>
      <c r="Z23" s="33">
        <f>(R23*5-VLOOKUP(J23,'[3]DATA VALID'!G:K,5,FALSE))/(R23*5)-Y23*1.24</f>
        <v>0.45982349999999983</v>
      </c>
      <c r="AA23" s="33"/>
      <c r="AB23" s="33"/>
      <c r="AC23" s="33"/>
      <c r="AD23" s="33"/>
      <c r="AE23" s="34">
        <f>ROUNDUP(Table2[[#This Row],[ Số lượng trúng thầu ]]*Table2[[#This Row],[Số tháng phát sinh]]/12/9,0)</f>
        <v>54</v>
      </c>
      <c r="AF23" s="34">
        <f>ROUNDUP(Table2[[#This Row],[ Số lượng trúng thầu ]]*Table2[[#This Row],[Số tháng phát sinh]]/12/9,0)</f>
        <v>54</v>
      </c>
      <c r="AG23" s="34">
        <f>ROUNDUP(Table2[[#This Row],[ Số lượng trúng thầu ]]*Table2[[#This Row],[Số tháng phát sinh]]/12/9,0)</f>
        <v>54</v>
      </c>
      <c r="AH23" s="34">
        <f>ROUNDUP(Table2[[#This Row],[ Số lượng trúng thầu ]]*Table2[[#This Row],[Số tháng phát sinh]]/12/9,0)</f>
        <v>54</v>
      </c>
      <c r="AI23" s="34">
        <f>ROUNDUP(Table2[[#This Row],[ Số lượng trúng thầu ]]*Table2[[#This Row],[Số tháng phát sinh]]/12/9,0)</f>
        <v>54</v>
      </c>
      <c r="AJ23" s="34">
        <f>ROUNDUP(Table2[[#This Row],[ Số lượng trúng thầu ]]*Table2[[#This Row],[Số tháng phát sinh]]/12/9,0)</f>
        <v>54</v>
      </c>
      <c r="AK23" s="34">
        <f>ROUNDUP(Table2[[#This Row],[ Số lượng trúng thầu ]]*Table2[[#This Row],[Số tháng phát sinh]]/12/9,0)</f>
        <v>54</v>
      </c>
      <c r="AL23" s="34">
        <f>ROUNDUP(Table2[[#This Row],[ Số lượng trúng thầu ]]*Table2[[#This Row],[Số tháng phát sinh]]/12/9,0)</f>
        <v>54</v>
      </c>
      <c r="AM23" s="34">
        <f>ROUNDUP(Table2[[#This Row],[ Số lượng trúng thầu ]]*Table2[[#This Row],[Số tháng phát sinh]]/12/9,0)</f>
        <v>54</v>
      </c>
      <c r="AN23" s="34">
        <f>ROUNDUP(Table2[[#This Row],[ Số lượng trúng thầu ]]*Table2[[#This Row],[Số tháng phát sinh]]/12/9,0)</f>
        <v>54</v>
      </c>
    </row>
    <row r="24" spans="1:40" x14ac:dyDescent="0.35">
      <c r="A24" s="26">
        <v>7</v>
      </c>
      <c r="B24" s="26">
        <v>2025</v>
      </c>
      <c r="C24" s="26" t="s">
        <v>165</v>
      </c>
      <c r="D24" s="26" t="s">
        <v>189</v>
      </c>
      <c r="E24" s="26" t="s">
        <v>194</v>
      </c>
      <c r="F24" s="26" t="s">
        <v>242</v>
      </c>
      <c r="G24" s="26" t="s">
        <v>58</v>
      </c>
      <c r="H24" s="26" t="s">
        <v>176</v>
      </c>
      <c r="I24" s="26" t="s">
        <v>177</v>
      </c>
      <c r="J24" s="31" t="s">
        <v>9</v>
      </c>
      <c r="K24" s="26" t="s">
        <v>171</v>
      </c>
      <c r="L24" s="26" t="s">
        <v>178</v>
      </c>
      <c r="M24" s="26" t="s">
        <v>173</v>
      </c>
      <c r="N24" s="26">
        <v>5000</v>
      </c>
      <c r="O24" s="26">
        <v>30</v>
      </c>
      <c r="P24" s="27">
        <v>1625000</v>
      </c>
      <c r="Q24" s="27" t="s">
        <v>183</v>
      </c>
      <c r="R24" s="28">
        <v>1450000</v>
      </c>
      <c r="S24" s="29">
        <v>48750000</v>
      </c>
      <c r="T24" s="29">
        <f t="shared" si="0"/>
        <v>43500000</v>
      </c>
      <c r="U24" s="30">
        <v>0.11</v>
      </c>
      <c r="V24" s="26" t="s">
        <v>243</v>
      </c>
      <c r="W24" s="31">
        <v>8</v>
      </c>
      <c r="X24" s="28">
        <f t="shared" si="1"/>
        <v>29000000</v>
      </c>
      <c r="Y24" s="32">
        <f>VLOOKUP(Q24,'[3]DATA VALID'!M:O,3,FALSE)</f>
        <v>0.1</v>
      </c>
      <c r="Z24" s="33">
        <f>(R24-VLOOKUP(J24,'[3]DATA VALID'!G:K,5,FALSE))/R24-Y24*1.24</f>
        <v>0.45095172413793105</v>
      </c>
      <c r="AA24" s="33"/>
      <c r="AB24" s="33"/>
      <c r="AC24" s="33"/>
      <c r="AD24" s="33"/>
      <c r="AE24" s="34">
        <f>ROUNDUP(Table2[[#This Row],[ Số lượng trúng thầu ]]*Table2[[#This Row],[Số tháng phát sinh]]/12/9,0)</f>
        <v>3</v>
      </c>
      <c r="AF24" s="34">
        <f>ROUNDUP(Table2[[#This Row],[ Số lượng trúng thầu ]]*Table2[[#This Row],[Số tháng phát sinh]]/12/9,0)</f>
        <v>3</v>
      </c>
      <c r="AG24" s="34">
        <f>ROUNDUP(Table2[[#This Row],[ Số lượng trúng thầu ]]*Table2[[#This Row],[Số tháng phát sinh]]/12/9,0)</f>
        <v>3</v>
      </c>
      <c r="AH24" s="34">
        <f>ROUNDUP(Table2[[#This Row],[ Số lượng trúng thầu ]]*Table2[[#This Row],[Số tháng phát sinh]]/12/9,0)</f>
        <v>3</v>
      </c>
      <c r="AI24" s="34">
        <f>ROUNDUP(Table2[[#This Row],[ Số lượng trúng thầu ]]*Table2[[#This Row],[Số tháng phát sinh]]/12/9,0)</f>
        <v>3</v>
      </c>
      <c r="AJ24" s="34">
        <f>ROUNDUP(Table2[[#This Row],[ Số lượng trúng thầu ]]*Table2[[#This Row],[Số tháng phát sinh]]/12/9,0)</f>
        <v>3</v>
      </c>
      <c r="AK24" s="34">
        <f>ROUNDUP(Table2[[#This Row],[ Số lượng trúng thầu ]]*Table2[[#This Row],[Số tháng phát sinh]]/12/9,0)</f>
        <v>3</v>
      </c>
      <c r="AL24" s="34">
        <f>ROUNDUP(Table2[[#This Row],[ Số lượng trúng thầu ]]*Table2[[#This Row],[Số tháng phát sinh]]/12/9,0)</f>
        <v>3</v>
      </c>
      <c r="AM24" s="34">
        <f>ROUNDUP(Table2[[#This Row],[ Số lượng trúng thầu ]]*Table2[[#This Row],[Số tháng phát sinh]]/12/9,0)</f>
        <v>3</v>
      </c>
      <c r="AN24" s="34">
        <f>ROUNDUP(Table2[[#This Row],[ Số lượng trúng thầu ]]*Table2[[#This Row],[Số tháng phát sinh]]/12/9,0)</f>
        <v>3</v>
      </c>
    </row>
    <row r="25" spans="1:40" x14ac:dyDescent="0.35">
      <c r="A25" s="26">
        <v>7</v>
      </c>
      <c r="B25" s="26">
        <v>2025</v>
      </c>
      <c r="C25" s="26" t="s">
        <v>165</v>
      </c>
      <c r="D25" s="26" t="s">
        <v>189</v>
      </c>
      <c r="E25" s="26" t="s">
        <v>194</v>
      </c>
      <c r="F25" s="26" t="s">
        <v>242</v>
      </c>
      <c r="G25" s="26" t="s">
        <v>58</v>
      </c>
      <c r="H25" s="26" t="s">
        <v>176</v>
      </c>
      <c r="I25" s="26" t="s">
        <v>244</v>
      </c>
      <c r="J25" s="31" t="s">
        <v>14</v>
      </c>
      <c r="K25" s="26" t="s">
        <v>171</v>
      </c>
      <c r="L25" s="26" t="s">
        <v>178</v>
      </c>
      <c r="M25" s="26" t="s">
        <v>173</v>
      </c>
      <c r="N25" s="26">
        <v>5000</v>
      </c>
      <c r="O25" s="26">
        <v>50</v>
      </c>
      <c r="P25" s="27">
        <v>2675000</v>
      </c>
      <c r="Q25" s="27" t="s">
        <v>183</v>
      </c>
      <c r="R25" s="28">
        <v>2450000</v>
      </c>
      <c r="S25" s="29">
        <v>133750000</v>
      </c>
      <c r="T25" s="29">
        <f t="shared" si="0"/>
        <v>122500000</v>
      </c>
      <c r="U25" s="30">
        <v>0.31</v>
      </c>
      <c r="V25" s="26" t="s">
        <v>245</v>
      </c>
      <c r="W25" s="31">
        <v>8</v>
      </c>
      <c r="X25" s="28">
        <f t="shared" si="1"/>
        <v>81666666.666666672</v>
      </c>
      <c r="Y25" s="32">
        <f>VLOOKUP(Q25,'[3]DATA VALID'!M:O,3,FALSE)</f>
        <v>0.1</v>
      </c>
      <c r="Z25" s="33">
        <f>(R25-VLOOKUP(J25,'[3]DATA VALID'!G:K,5,FALSE))/R25-Y25*1.24</f>
        <v>0.40585946938775508</v>
      </c>
      <c r="AA25" s="33"/>
      <c r="AB25" s="33"/>
      <c r="AC25" s="33"/>
      <c r="AD25" s="33"/>
      <c r="AE25" s="34">
        <f>ROUNDUP(Table2[[#This Row],[ Số lượng trúng thầu ]]*Table2[[#This Row],[Số tháng phát sinh]]/12/9,0)</f>
        <v>4</v>
      </c>
      <c r="AF25" s="34">
        <f>ROUNDUP(Table2[[#This Row],[ Số lượng trúng thầu ]]*Table2[[#This Row],[Số tháng phát sinh]]/12/9,0)</f>
        <v>4</v>
      </c>
      <c r="AG25" s="34">
        <f>ROUNDUP(Table2[[#This Row],[ Số lượng trúng thầu ]]*Table2[[#This Row],[Số tháng phát sinh]]/12/9,0)</f>
        <v>4</v>
      </c>
      <c r="AH25" s="34">
        <f>ROUNDUP(Table2[[#This Row],[ Số lượng trúng thầu ]]*Table2[[#This Row],[Số tháng phát sinh]]/12/9,0)</f>
        <v>4</v>
      </c>
      <c r="AI25" s="34">
        <f>ROUNDUP(Table2[[#This Row],[ Số lượng trúng thầu ]]*Table2[[#This Row],[Số tháng phát sinh]]/12/9,0)</f>
        <v>4</v>
      </c>
      <c r="AJ25" s="34">
        <f>ROUNDUP(Table2[[#This Row],[ Số lượng trúng thầu ]]*Table2[[#This Row],[Số tháng phát sinh]]/12/9,0)</f>
        <v>4</v>
      </c>
      <c r="AK25" s="34">
        <f>ROUNDUP(Table2[[#This Row],[ Số lượng trúng thầu ]]*Table2[[#This Row],[Số tháng phát sinh]]/12/9,0)</f>
        <v>4</v>
      </c>
      <c r="AL25" s="34">
        <f>ROUNDUP(Table2[[#This Row],[ Số lượng trúng thầu ]]*Table2[[#This Row],[Số tháng phát sinh]]/12/9,0)</f>
        <v>4</v>
      </c>
      <c r="AM25" s="34">
        <f>ROUNDUP(Table2[[#This Row],[ Số lượng trúng thầu ]]*Table2[[#This Row],[Số tháng phát sinh]]/12/9,0)</f>
        <v>4</v>
      </c>
      <c r="AN25" s="34">
        <f>ROUNDUP(Table2[[#This Row],[ Số lượng trúng thầu ]]*Table2[[#This Row],[Số tháng phát sinh]]/12/9,0)</f>
        <v>4</v>
      </c>
    </row>
    <row r="26" spans="1:40" x14ac:dyDescent="0.35">
      <c r="A26" s="26">
        <v>8</v>
      </c>
      <c r="B26" s="26">
        <v>2025</v>
      </c>
      <c r="C26" s="26" t="s">
        <v>165</v>
      </c>
      <c r="D26" s="26" t="s">
        <v>189</v>
      </c>
      <c r="E26" s="26" t="s">
        <v>208</v>
      </c>
      <c r="F26" s="26" t="s">
        <v>247</v>
      </c>
      <c r="G26" s="26" t="s">
        <v>49</v>
      </c>
      <c r="H26" s="26" t="s">
        <v>207</v>
      </c>
      <c r="I26" s="26" t="s">
        <v>223</v>
      </c>
      <c r="J26" s="31" t="s">
        <v>6</v>
      </c>
      <c r="K26" s="26" t="s">
        <v>171</v>
      </c>
      <c r="L26" s="26" t="s">
        <v>178</v>
      </c>
      <c r="M26" s="26" t="s">
        <v>173</v>
      </c>
      <c r="N26" s="26">
        <v>1000</v>
      </c>
      <c r="O26" s="26">
        <v>100</v>
      </c>
      <c r="P26" s="27">
        <v>465000</v>
      </c>
      <c r="Q26" s="27" t="s">
        <v>183</v>
      </c>
      <c r="R26" s="28">
        <v>440000</v>
      </c>
      <c r="S26" s="29">
        <v>46500000</v>
      </c>
      <c r="T26" s="29">
        <f t="shared" si="0"/>
        <v>44000000</v>
      </c>
      <c r="U26" s="30">
        <v>0.09</v>
      </c>
      <c r="V26" s="26" t="s">
        <v>224</v>
      </c>
      <c r="W26" s="31">
        <v>7</v>
      </c>
      <c r="X26" s="28">
        <f t="shared" si="1"/>
        <v>25666666.666666668</v>
      </c>
      <c r="Y26" s="32">
        <f>VLOOKUP(Q26,'[3]DATA VALID'!M:O,3,FALSE)</f>
        <v>0.1</v>
      </c>
      <c r="Z26" s="33">
        <f>(R26-VLOOKUP(J26,'[3]DATA VALID'!G:K,5,FALSE))/R26-Y26*1.24</f>
        <v>0.40493249999999992</v>
      </c>
      <c r="AA26" s="33"/>
      <c r="AB26" s="33"/>
      <c r="AC26" s="33"/>
      <c r="AD26" s="33"/>
      <c r="AE26" s="34"/>
      <c r="AF26" s="34">
        <f>ROUNDUP(Table2[[#This Row],[ Số lượng trúng thầu ]]*Table2[[#This Row],[Số tháng phát sinh]]/12/Table2[[#This Row],[Số tháng phát sinh]],0)</f>
        <v>9</v>
      </c>
      <c r="AG26" s="34">
        <f>ROUNDUP(Table2[[#This Row],[ Số lượng trúng thầu ]]*Table2[[#This Row],[Số tháng phát sinh]]/12/Table2[[#This Row],[Số tháng phát sinh]],0)</f>
        <v>9</v>
      </c>
      <c r="AH26" s="34">
        <f>ROUNDUP(Table2[[#This Row],[ Số lượng trúng thầu ]]*Table2[[#This Row],[Số tháng phát sinh]]/12/Table2[[#This Row],[Số tháng phát sinh]],0)</f>
        <v>9</v>
      </c>
      <c r="AI26" s="34">
        <f>ROUNDUP(Table2[[#This Row],[ Số lượng trúng thầu ]]*Table2[[#This Row],[Số tháng phát sinh]]/12/Table2[[#This Row],[Số tháng phát sinh]],0)</f>
        <v>9</v>
      </c>
      <c r="AJ26" s="34">
        <f>ROUNDUP(Table2[[#This Row],[ Số lượng trúng thầu ]]*Table2[[#This Row],[Số tháng phát sinh]]/12/Table2[[#This Row],[Số tháng phát sinh]],0)</f>
        <v>9</v>
      </c>
      <c r="AK26" s="34">
        <f>ROUNDUP(Table2[[#This Row],[ Số lượng trúng thầu ]]*Table2[[#This Row],[Số tháng phát sinh]]/12/Table2[[#This Row],[Số tháng phát sinh]],0)</f>
        <v>9</v>
      </c>
      <c r="AL26" s="34">
        <f>ROUNDUP(Table2[[#This Row],[ Số lượng trúng thầu ]]*Table2[[#This Row],[Số tháng phát sinh]]/12/Table2[[#This Row],[Số tháng phát sinh]],0)</f>
        <v>9</v>
      </c>
      <c r="AM26" s="34">
        <f>ROUNDUP(Table2[[#This Row],[ Số lượng trúng thầu ]]*Table2[[#This Row],[Số tháng phát sinh]]/12/Table2[[#This Row],[Số tháng phát sinh]],0)</f>
        <v>9</v>
      </c>
      <c r="AN26" s="34">
        <f>ROUNDUP(Table2[[#This Row],[ Số lượng trúng thầu ]]*Table2[[#This Row],[Số tháng phát sinh]]/12/Table2[[#This Row],[Số tháng phát sinh]],0)</f>
        <v>9</v>
      </c>
    </row>
    <row r="27" spans="1:40" x14ac:dyDescent="0.35">
      <c r="A27" s="26">
        <v>8</v>
      </c>
      <c r="B27" s="26">
        <v>2025</v>
      </c>
      <c r="C27" s="26" t="s">
        <v>165</v>
      </c>
      <c r="D27" s="26" t="s">
        <v>189</v>
      </c>
      <c r="E27" s="26" t="s">
        <v>194</v>
      </c>
      <c r="F27" s="26" t="s">
        <v>248</v>
      </c>
      <c r="G27" s="26" t="s">
        <v>18</v>
      </c>
      <c r="H27" s="26" t="s">
        <v>176</v>
      </c>
      <c r="I27" s="26" t="s">
        <v>246</v>
      </c>
      <c r="J27" s="26" t="s">
        <v>11</v>
      </c>
      <c r="K27" s="26" t="s">
        <v>171</v>
      </c>
      <c r="L27" s="26" t="s">
        <v>172</v>
      </c>
      <c r="M27" s="26" t="s">
        <v>173</v>
      </c>
      <c r="N27" s="26">
        <v>5000</v>
      </c>
      <c r="O27" s="26">
        <v>20</v>
      </c>
      <c r="P27" s="27">
        <v>580000</v>
      </c>
      <c r="Q27" s="27" t="s">
        <v>183</v>
      </c>
      <c r="R27" s="28">
        <v>428925</v>
      </c>
      <c r="S27" s="29">
        <v>11600000</v>
      </c>
      <c r="T27" s="29">
        <f t="shared" si="0"/>
        <v>8578500</v>
      </c>
      <c r="U27" s="30">
        <v>0.04</v>
      </c>
      <c r="V27" s="26" t="s">
        <v>249</v>
      </c>
      <c r="W27" s="31">
        <v>7</v>
      </c>
      <c r="X27" s="28">
        <f t="shared" si="1"/>
        <v>5004125</v>
      </c>
      <c r="Y27" s="32">
        <f>VLOOKUP(Q27,'[3]DATA VALID'!M:O,3,FALSE)</f>
        <v>0.1</v>
      </c>
      <c r="Z27" s="33">
        <f>(R27-VLOOKUP(J27,'[3]DATA VALID'!G:K,5,FALSE))/R27-Y27*1.24</f>
        <v>0.42921559713236579</v>
      </c>
      <c r="AA27" s="33"/>
      <c r="AB27" s="33"/>
      <c r="AC27" s="33"/>
      <c r="AD27" s="33"/>
      <c r="AE27" s="34"/>
      <c r="AF27" s="34">
        <f>ROUNDUP(Table2[[#This Row],[ Số lượng trúng thầu ]]*Table2[[#This Row],[Số tháng phát sinh]]/12/Table2[[#This Row],[Số tháng phát sinh]],0)</f>
        <v>2</v>
      </c>
      <c r="AG27" s="34">
        <f>ROUNDUP(Table2[[#This Row],[ Số lượng trúng thầu ]]*Table2[[#This Row],[Số tháng phát sinh]]/12/Table2[[#This Row],[Số tháng phát sinh]],0)</f>
        <v>2</v>
      </c>
      <c r="AH27" s="34">
        <f>ROUNDUP(Table2[[#This Row],[ Số lượng trúng thầu ]]*Table2[[#This Row],[Số tháng phát sinh]]/12/Table2[[#This Row],[Số tháng phát sinh]],0)</f>
        <v>2</v>
      </c>
      <c r="AI27" s="34">
        <f>ROUNDUP(Table2[[#This Row],[ Số lượng trúng thầu ]]*Table2[[#This Row],[Số tháng phát sinh]]/12/Table2[[#This Row],[Số tháng phát sinh]],0)</f>
        <v>2</v>
      </c>
      <c r="AJ27" s="34">
        <f>ROUNDUP(Table2[[#This Row],[ Số lượng trúng thầu ]]*Table2[[#This Row],[Số tháng phát sinh]]/12/Table2[[#This Row],[Số tháng phát sinh]],0)</f>
        <v>2</v>
      </c>
      <c r="AK27" s="34">
        <f>ROUNDUP(Table2[[#This Row],[ Số lượng trúng thầu ]]*Table2[[#This Row],[Số tháng phát sinh]]/12/Table2[[#This Row],[Số tháng phát sinh]],0)</f>
        <v>2</v>
      </c>
      <c r="AL27" s="34">
        <f>ROUNDUP(Table2[[#This Row],[ Số lượng trúng thầu ]]*Table2[[#This Row],[Số tháng phát sinh]]/12/Table2[[#This Row],[Số tháng phát sinh]],0)</f>
        <v>2</v>
      </c>
      <c r="AM27" s="34">
        <f>ROUNDUP(Table2[[#This Row],[ Số lượng trúng thầu ]]*Table2[[#This Row],[Số tháng phát sinh]]/12/Table2[[#This Row],[Số tháng phát sinh]],0)</f>
        <v>2</v>
      </c>
      <c r="AN27" s="34">
        <f>ROUNDUP(Table2[[#This Row],[ Số lượng trúng thầu ]]*Table2[[#This Row],[Số tháng phát sinh]]/12/Table2[[#This Row],[Số tháng phát sinh]],0)</f>
        <v>2</v>
      </c>
    </row>
    <row r="28" spans="1:40" x14ac:dyDescent="0.35">
      <c r="A28" s="26">
        <v>8</v>
      </c>
      <c r="B28" s="26">
        <v>2025</v>
      </c>
      <c r="C28" s="26" t="s">
        <v>165</v>
      </c>
      <c r="D28" s="26" t="s">
        <v>189</v>
      </c>
      <c r="E28" s="26" t="s">
        <v>194</v>
      </c>
      <c r="F28" s="26" t="s">
        <v>248</v>
      </c>
      <c r="G28" s="26" t="s">
        <v>18</v>
      </c>
      <c r="H28" s="26" t="s">
        <v>176</v>
      </c>
      <c r="I28" s="26" t="s">
        <v>204</v>
      </c>
      <c r="J28" s="26" t="s">
        <v>4</v>
      </c>
      <c r="K28" s="26" t="s">
        <v>171</v>
      </c>
      <c r="L28" s="26" t="s">
        <v>172</v>
      </c>
      <c r="M28" s="26" t="s">
        <v>173</v>
      </c>
      <c r="N28" s="26">
        <v>5000</v>
      </c>
      <c r="O28" s="26">
        <v>24</v>
      </c>
      <c r="P28" s="27">
        <v>1300000</v>
      </c>
      <c r="Q28" s="27" t="s">
        <v>183</v>
      </c>
      <c r="R28" s="28">
        <v>980000</v>
      </c>
      <c r="S28" s="29">
        <v>31200000</v>
      </c>
      <c r="T28" s="29">
        <f t="shared" si="0"/>
        <v>23520000</v>
      </c>
      <c r="U28" s="30">
        <v>0.1</v>
      </c>
      <c r="V28" s="26" t="s">
        <v>250</v>
      </c>
      <c r="W28" s="31">
        <v>7</v>
      </c>
      <c r="X28" s="28">
        <f t="shared" si="1"/>
        <v>13720000</v>
      </c>
      <c r="Y28" s="32">
        <f>VLOOKUP(Q28,'[3]DATA VALID'!M:O,3,FALSE)</f>
        <v>0.1</v>
      </c>
      <c r="Z28" s="33">
        <f>(R28-VLOOKUP(J28,'[3]DATA VALID'!G:K,5,FALSE))/R28-Y28*1.24</f>
        <v>0.37779489795918364</v>
      </c>
      <c r="AA28" s="33"/>
      <c r="AB28" s="33"/>
      <c r="AC28" s="33"/>
      <c r="AD28" s="33"/>
      <c r="AE28" s="34"/>
      <c r="AF28" s="34">
        <f>ROUNDUP(Table2[[#This Row],[ Số lượng trúng thầu ]]*Table2[[#This Row],[Số tháng phát sinh]]/12/Table2[[#This Row],[Số tháng phát sinh]],0)</f>
        <v>2</v>
      </c>
      <c r="AG28" s="34">
        <f>ROUNDUP(Table2[[#This Row],[ Số lượng trúng thầu ]]*Table2[[#This Row],[Số tháng phát sinh]]/12/Table2[[#This Row],[Số tháng phát sinh]],0)</f>
        <v>2</v>
      </c>
      <c r="AH28" s="34">
        <f>ROUNDUP(Table2[[#This Row],[ Số lượng trúng thầu ]]*Table2[[#This Row],[Số tháng phát sinh]]/12/Table2[[#This Row],[Số tháng phát sinh]],0)</f>
        <v>2</v>
      </c>
      <c r="AI28" s="34">
        <f>ROUNDUP(Table2[[#This Row],[ Số lượng trúng thầu ]]*Table2[[#This Row],[Số tháng phát sinh]]/12/Table2[[#This Row],[Số tháng phát sinh]],0)</f>
        <v>2</v>
      </c>
      <c r="AJ28" s="34">
        <f>ROUNDUP(Table2[[#This Row],[ Số lượng trúng thầu ]]*Table2[[#This Row],[Số tháng phát sinh]]/12/Table2[[#This Row],[Số tháng phát sinh]],0)</f>
        <v>2</v>
      </c>
      <c r="AK28" s="34">
        <f>ROUNDUP(Table2[[#This Row],[ Số lượng trúng thầu ]]*Table2[[#This Row],[Số tháng phát sinh]]/12/Table2[[#This Row],[Số tháng phát sinh]],0)</f>
        <v>2</v>
      </c>
      <c r="AL28" s="34">
        <f>ROUNDUP(Table2[[#This Row],[ Số lượng trúng thầu ]]*Table2[[#This Row],[Số tháng phát sinh]]/12/Table2[[#This Row],[Số tháng phát sinh]],0)</f>
        <v>2</v>
      </c>
      <c r="AM28" s="34">
        <f>ROUNDUP(Table2[[#This Row],[ Số lượng trúng thầu ]]*Table2[[#This Row],[Số tháng phát sinh]]/12/Table2[[#This Row],[Số tháng phát sinh]],0)</f>
        <v>2</v>
      </c>
      <c r="AN28" s="34">
        <f>ROUNDUP(Table2[[#This Row],[ Số lượng trúng thầu ]]*Table2[[#This Row],[Số tháng phát sinh]]/12/Table2[[#This Row],[Số tháng phát sinh]],0)</f>
        <v>2</v>
      </c>
    </row>
    <row r="29" spans="1:40" x14ac:dyDescent="0.35">
      <c r="A29" s="26">
        <v>8</v>
      </c>
      <c r="B29" s="26">
        <v>2025</v>
      </c>
      <c r="C29" s="26" t="s">
        <v>165</v>
      </c>
      <c r="D29" s="26" t="s">
        <v>189</v>
      </c>
      <c r="E29" s="26" t="s">
        <v>194</v>
      </c>
      <c r="F29" s="26" t="s">
        <v>248</v>
      </c>
      <c r="G29" s="26" t="s">
        <v>18</v>
      </c>
      <c r="H29" s="26" t="s">
        <v>216</v>
      </c>
      <c r="I29" s="26" t="s">
        <v>217</v>
      </c>
      <c r="J29" s="31" t="s">
        <v>6</v>
      </c>
      <c r="K29" s="26" t="s">
        <v>171</v>
      </c>
      <c r="L29" s="26" t="s">
        <v>178</v>
      </c>
      <c r="M29" s="26" t="s">
        <v>173</v>
      </c>
      <c r="N29" s="26">
        <v>1000</v>
      </c>
      <c r="O29" s="26">
        <v>150</v>
      </c>
      <c r="P29" s="27">
        <v>790000</v>
      </c>
      <c r="Q29" s="27" t="s">
        <v>183</v>
      </c>
      <c r="R29" s="28">
        <v>440000</v>
      </c>
      <c r="S29" s="29">
        <v>118500000</v>
      </c>
      <c r="T29" s="29">
        <f t="shared" si="0"/>
        <v>66000000</v>
      </c>
      <c r="U29" s="30">
        <v>0.37</v>
      </c>
      <c r="V29" s="26" t="s">
        <v>251</v>
      </c>
      <c r="W29" s="31">
        <v>7</v>
      </c>
      <c r="X29" s="28">
        <f t="shared" si="1"/>
        <v>38500000</v>
      </c>
      <c r="Y29" s="32">
        <f>VLOOKUP(Q29,'[3]DATA VALID'!M:O,3,FALSE)</f>
        <v>0.1</v>
      </c>
      <c r="Z29" s="33">
        <f>(R29-VLOOKUP(J29,'[3]DATA VALID'!G:K,5,FALSE))/R29-Y29*1.24</f>
        <v>0.40493249999999992</v>
      </c>
      <c r="AA29" s="33"/>
      <c r="AB29" s="33"/>
      <c r="AC29" s="33"/>
      <c r="AD29" s="33"/>
      <c r="AE29" s="34"/>
      <c r="AF29" s="34">
        <f>ROUNDUP(Table2[[#This Row],[ Số lượng trúng thầu ]]*Table2[[#This Row],[Số tháng phát sinh]]/12/Table2[[#This Row],[Số tháng phát sinh]],0)</f>
        <v>13</v>
      </c>
      <c r="AG29" s="34">
        <f>ROUNDUP(Table2[[#This Row],[ Số lượng trúng thầu ]]*Table2[[#This Row],[Số tháng phát sinh]]/12/Table2[[#This Row],[Số tháng phát sinh]],0)</f>
        <v>13</v>
      </c>
      <c r="AH29" s="34">
        <f>ROUNDUP(Table2[[#This Row],[ Số lượng trúng thầu ]]*Table2[[#This Row],[Số tháng phát sinh]]/12/Table2[[#This Row],[Số tháng phát sinh]],0)</f>
        <v>13</v>
      </c>
      <c r="AI29" s="34">
        <f>ROUNDUP(Table2[[#This Row],[ Số lượng trúng thầu ]]*Table2[[#This Row],[Số tháng phát sinh]]/12/Table2[[#This Row],[Số tháng phát sinh]],0)</f>
        <v>13</v>
      </c>
      <c r="AJ29" s="34">
        <f>ROUNDUP(Table2[[#This Row],[ Số lượng trúng thầu ]]*Table2[[#This Row],[Số tháng phát sinh]]/12/Table2[[#This Row],[Số tháng phát sinh]],0)</f>
        <v>13</v>
      </c>
      <c r="AK29" s="34">
        <f>ROUNDUP(Table2[[#This Row],[ Số lượng trúng thầu ]]*Table2[[#This Row],[Số tháng phát sinh]]/12/Table2[[#This Row],[Số tháng phát sinh]],0)</f>
        <v>13</v>
      </c>
      <c r="AL29" s="34">
        <f>ROUNDUP(Table2[[#This Row],[ Số lượng trúng thầu ]]*Table2[[#This Row],[Số tháng phát sinh]]/12/Table2[[#This Row],[Số tháng phát sinh]],0)</f>
        <v>13</v>
      </c>
      <c r="AM29" s="34">
        <f>ROUNDUP(Table2[[#This Row],[ Số lượng trúng thầu ]]*Table2[[#This Row],[Số tháng phát sinh]]/12/Table2[[#This Row],[Số tháng phát sinh]],0)</f>
        <v>13</v>
      </c>
      <c r="AN29" s="34">
        <f>ROUNDUP(Table2[[#This Row],[ Số lượng trúng thầu ]]*Table2[[#This Row],[Số tháng phát sinh]]/12/Table2[[#This Row],[Số tháng phát sinh]],0)</f>
        <v>13</v>
      </c>
    </row>
    <row r="30" spans="1:40" x14ac:dyDescent="0.35">
      <c r="A30" s="26">
        <v>7</v>
      </c>
      <c r="B30" s="26">
        <v>2025</v>
      </c>
      <c r="C30" s="26" t="s">
        <v>165</v>
      </c>
      <c r="D30" s="26" t="s">
        <v>166</v>
      </c>
      <c r="E30" s="26" t="s">
        <v>211</v>
      </c>
      <c r="F30" s="26" t="s">
        <v>252</v>
      </c>
      <c r="G30" s="26" t="s">
        <v>51</v>
      </c>
      <c r="H30" s="26" t="s">
        <v>176</v>
      </c>
      <c r="I30" s="26" t="s">
        <v>253</v>
      </c>
      <c r="J30" s="26" t="str">
        <f>VLOOKUP(I30,'[3]DATA VALID'!A:B,2,FALSE)</f>
        <v>Exeol wipe optimal</v>
      </c>
      <c r="K30" s="26" t="s">
        <v>186</v>
      </c>
      <c r="L30" s="26" t="s">
        <v>187</v>
      </c>
      <c r="M30" s="26" t="s">
        <v>173</v>
      </c>
      <c r="N30" s="26">
        <v>1</v>
      </c>
      <c r="O30" s="27">
        <v>6720</v>
      </c>
      <c r="P30" s="27">
        <v>2900</v>
      </c>
      <c r="Q30" s="27" t="s">
        <v>183</v>
      </c>
      <c r="R30" s="27">
        <v>2450</v>
      </c>
      <c r="S30" s="29">
        <v>19488000</v>
      </c>
      <c r="T30" s="29">
        <f t="shared" si="0"/>
        <v>16464000</v>
      </c>
      <c r="U30" s="30">
        <v>0.01</v>
      </c>
      <c r="V30" s="26" t="s">
        <v>254</v>
      </c>
      <c r="W30" s="31">
        <v>8</v>
      </c>
      <c r="X30" s="28">
        <f t="shared" si="1"/>
        <v>10976000</v>
      </c>
      <c r="Y30" s="32">
        <f>VLOOKUP(Q30,'[3]DATA VALID'!M:O,3,FALSE)</f>
        <v>0.1</v>
      </c>
      <c r="Z30" s="33">
        <f>(R30*100-VLOOKUP(J30,'[3]DATA VALID'!G:K,5,FALSE))/(R30*100)-Y30*1.24</f>
        <v>0.36423428571428568</v>
      </c>
      <c r="AA30" s="33"/>
      <c r="AB30" s="33"/>
      <c r="AC30" s="33"/>
      <c r="AD30" s="33"/>
      <c r="AE30" s="34">
        <f>ROUNDUP(Table2[[#This Row],[ Số lượng trúng thầu ]]*Table2[[#This Row],[Số tháng phát sinh]]/12/9/100,0)</f>
        <v>5</v>
      </c>
      <c r="AF30" s="34">
        <f>ROUNDUP(Table2[[#This Row],[ Số lượng trúng thầu ]]*Table2[[#This Row],[Số tháng phát sinh]]/12/9/100,0)</f>
        <v>5</v>
      </c>
      <c r="AG30" s="34">
        <f>ROUNDUP(Table2[[#This Row],[ Số lượng trúng thầu ]]*Table2[[#This Row],[Số tháng phát sinh]]/12/9/100,0)</f>
        <v>5</v>
      </c>
      <c r="AH30" s="34">
        <f>ROUNDUP(Table2[[#This Row],[ Số lượng trúng thầu ]]*Table2[[#This Row],[Số tháng phát sinh]]/12/9/100,0)</f>
        <v>5</v>
      </c>
      <c r="AI30" s="34">
        <f>ROUNDUP(Table2[[#This Row],[ Số lượng trúng thầu ]]*Table2[[#This Row],[Số tháng phát sinh]]/12/9/100,0)</f>
        <v>5</v>
      </c>
      <c r="AJ30" s="34">
        <f>ROUNDUP(Table2[[#This Row],[ Số lượng trúng thầu ]]*Table2[[#This Row],[Số tháng phát sinh]]/12/9/100,0)</f>
        <v>5</v>
      </c>
      <c r="AK30" s="34">
        <f>ROUNDUP(Table2[[#This Row],[ Số lượng trúng thầu ]]*Table2[[#This Row],[Số tháng phát sinh]]/12/9/100,0)</f>
        <v>5</v>
      </c>
      <c r="AL30" s="34">
        <f>ROUNDUP(Table2[[#This Row],[ Số lượng trúng thầu ]]*Table2[[#This Row],[Số tháng phát sinh]]/12/9/100,0)</f>
        <v>5</v>
      </c>
      <c r="AM30" s="34">
        <f>ROUNDUP(Table2[[#This Row],[ Số lượng trúng thầu ]]*Table2[[#This Row],[Số tháng phát sinh]]/12/9/100,0)</f>
        <v>5</v>
      </c>
      <c r="AN30" s="34">
        <f>ROUNDUP(Table2[[#This Row],[ Số lượng trúng thầu ]]*Table2[[#This Row],[Số tháng phát sinh]]/12/9/100,0)</f>
        <v>5</v>
      </c>
    </row>
    <row r="31" spans="1:40" x14ac:dyDescent="0.35">
      <c r="A31" s="26">
        <v>8</v>
      </c>
      <c r="B31" s="26">
        <v>2025</v>
      </c>
      <c r="C31" s="26" t="s">
        <v>165</v>
      </c>
      <c r="D31" s="26" t="s">
        <v>166</v>
      </c>
      <c r="E31" s="26" t="s">
        <v>211</v>
      </c>
      <c r="F31" s="26" t="s">
        <v>255</v>
      </c>
      <c r="G31" s="26" t="s">
        <v>37</v>
      </c>
      <c r="H31" s="26" t="s">
        <v>176</v>
      </c>
      <c r="I31" s="26" t="s">
        <v>199</v>
      </c>
      <c r="J31" s="31" t="s">
        <v>8</v>
      </c>
      <c r="K31" s="26" t="s">
        <v>186</v>
      </c>
      <c r="L31" s="26" t="s">
        <v>200</v>
      </c>
      <c r="M31" s="26" t="s">
        <v>173</v>
      </c>
      <c r="N31" s="26">
        <v>1000</v>
      </c>
      <c r="O31" s="26">
        <v>12</v>
      </c>
      <c r="P31" s="27">
        <v>350000</v>
      </c>
      <c r="Q31" s="27" t="s">
        <v>183</v>
      </c>
      <c r="R31" s="28">
        <v>260000</v>
      </c>
      <c r="S31" s="29">
        <v>4200000</v>
      </c>
      <c r="T31" s="29">
        <f t="shared" si="0"/>
        <v>3120000</v>
      </c>
      <c r="U31" s="30">
        <v>0.05</v>
      </c>
      <c r="V31" s="26" t="s">
        <v>210</v>
      </c>
      <c r="W31" s="31">
        <v>7</v>
      </c>
      <c r="X31" s="28">
        <f t="shared" si="1"/>
        <v>1820000</v>
      </c>
      <c r="Y31" s="32">
        <f>VLOOKUP(Q31,'[3]DATA VALID'!M:O,3,FALSE)</f>
        <v>0.1</v>
      </c>
      <c r="Z31" s="33">
        <f>(R31-VLOOKUP(J31,'[3]DATA VALID'!G:K,5,FALSE))/R31-Y31*1.24</f>
        <v>0.39375923076923069</v>
      </c>
      <c r="AA31" s="33"/>
      <c r="AB31" s="33"/>
      <c r="AC31" s="33"/>
      <c r="AD31" s="33"/>
      <c r="AE31" s="34"/>
      <c r="AF31" s="34">
        <f>ROUNDUP(Table2[[#This Row],[ Số lượng trúng thầu ]]*Table2[[#This Row],[Số tháng phát sinh]]/12/Table2[[#This Row],[Số tháng phát sinh]],0)</f>
        <v>1</v>
      </c>
      <c r="AG31" s="34">
        <f>ROUNDUP(Table2[[#This Row],[ Số lượng trúng thầu ]]*Table2[[#This Row],[Số tháng phát sinh]]/12/Table2[[#This Row],[Số tháng phát sinh]],0)</f>
        <v>1</v>
      </c>
      <c r="AH31" s="34">
        <f>ROUNDUP(Table2[[#This Row],[ Số lượng trúng thầu ]]*Table2[[#This Row],[Số tháng phát sinh]]/12/Table2[[#This Row],[Số tháng phát sinh]],0)</f>
        <v>1</v>
      </c>
      <c r="AI31" s="34">
        <f>ROUNDUP(Table2[[#This Row],[ Số lượng trúng thầu ]]*Table2[[#This Row],[Số tháng phát sinh]]/12/Table2[[#This Row],[Số tháng phát sinh]],0)</f>
        <v>1</v>
      </c>
      <c r="AJ31" s="34">
        <f>ROUNDUP(Table2[[#This Row],[ Số lượng trúng thầu ]]*Table2[[#This Row],[Số tháng phát sinh]]/12/Table2[[#This Row],[Số tháng phát sinh]],0)</f>
        <v>1</v>
      </c>
      <c r="AK31" s="34">
        <f>ROUNDUP(Table2[[#This Row],[ Số lượng trúng thầu ]]*Table2[[#This Row],[Số tháng phát sinh]]/12/Table2[[#This Row],[Số tháng phát sinh]],0)</f>
        <v>1</v>
      </c>
      <c r="AL31" s="34">
        <f>ROUNDUP(Table2[[#This Row],[ Số lượng trúng thầu ]]*Table2[[#This Row],[Số tháng phát sinh]]/12/Table2[[#This Row],[Số tháng phát sinh]],0)</f>
        <v>1</v>
      </c>
      <c r="AM31" s="34">
        <f>ROUNDUP(Table2[[#This Row],[ Số lượng trúng thầu ]]*Table2[[#This Row],[Số tháng phát sinh]]/12/Table2[[#This Row],[Số tháng phát sinh]],0)</f>
        <v>1</v>
      </c>
      <c r="AN31" s="34">
        <f>ROUNDUP(Table2[[#This Row],[ Số lượng trúng thầu ]]*Table2[[#This Row],[Số tháng phát sinh]]/12/Table2[[#This Row],[Số tháng phát sinh]],0)</f>
        <v>1</v>
      </c>
    </row>
    <row r="32" spans="1:40" x14ac:dyDescent="0.35">
      <c r="A32" s="26">
        <v>8</v>
      </c>
      <c r="B32" s="26">
        <v>2025</v>
      </c>
      <c r="C32" s="26" t="s">
        <v>165</v>
      </c>
      <c r="D32" s="26" t="s">
        <v>166</v>
      </c>
      <c r="E32" s="26" t="s">
        <v>211</v>
      </c>
      <c r="F32" s="26" t="s">
        <v>255</v>
      </c>
      <c r="G32" s="26" t="s">
        <v>37</v>
      </c>
      <c r="H32" s="26" t="s">
        <v>176</v>
      </c>
      <c r="I32" s="26" t="s">
        <v>209</v>
      </c>
      <c r="J32" s="31" t="s">
        <v>6</v>
      </c>
      <c r="K32" s="26" t="s">
        <v>171</v>
      </c>
      <c r="L32" s="26" t="s">
        <v>178</v>
      </c>
      <c r="M32" s="26" t="s">
        <v>173</v>
      </c>
      <c r="N32" s="26">
        <v>1000</v>
      </c>
      <c r="O32" s="26">
        <v>27</v>
      </c>
      <c r="P32" s="27">
        <v>480000</v>
      </c>
      <c r="Q32" s="27" t="s">
        <v>183</v>
      </c>
      <c r="R32" s="28">
        <v>440000</v>
      </c>
      <c r="S32" s="29">
        <v>12960000</v>
      </c>
      <c r="T32" s="29">
        <f t="shared" si="0"/>
        <v>11880000</v>
      </c>
      <c r="U32" s="30">
        <v>0.14000000000000001</v>
      </c>
      <c r="V32" s="26" t="s">
        <v>210</v>
      </c>
      <c r="W32" s="31">
        <v>7</v>
      </c>
      <c r="X32" s="28">
        <f t="shared" si="1"/>
        <v>6930000</v>
      </c>
      <c r="Y32" s="32">
        <f>VLOOKUP(Q32,'[3]DATA VALID'!M:O,3,FALSE)</f>
        <v>0.1</v>
      </c>
      <c r="Z32" s="33">
        <f>(R32-VLOOKUP(J32,'[3]DATA VALID'!G:K,5,FALSE))/R32-Y32*1.24</f>
        <v>0.40493249999999992</v>
      </c>
      <c r="AA32" s="33"/>
      <c r="AB32" s="33"/>
      <c r="AC32" s="33"/>
      <c r="AD32" s="33"/>
      <c r="AE32" s="34"/>
      <c r="AF32" s="34">
        <f>ROUNDUP(Table2[[#This Row],[ Số lượng trúng thầu ]]*Table2[[#This Row],[Số tháng phát sinh]]/12/Table2[[#This Row],[Số tháng phát sinh]],0)</f>
        <v>3</v>
      </c>
      <c r="AG32" s="34">
        <f>ROUNDUP(Table2[[#This Row],[ Số lượng trúng thầu ]]*Table2[[#This Row],[Số tháng phát sinh]]/12/Table2[[#This Row],[Số tháng phát sinh]],0)</f>
        <v>3</v>
      </c>
      <c r="AH32" s="34">
        <f>ROUNDUP(Table2[[#This Row],[ Số lượng trúng thầu ]]*Table2[[#This Row],[Số tháng phát sinh]]/12/Table2[[#This Row],[Số tháng phát sinh]],0)</f>
        <v>3</v>
      </c>
      <c r="AI32" s="34">
        <f>ROUNDUP(Table2[[#This Row],[ Số lượng trúng thầu ]]*Table2[[#This Row],[Số tháng phát sinh]]/12/Table2[[#This Row],[Số tháng phát sinh]],0)</f>
        <v>3</v>
      </c>
      <c r="AJ32" s="34">
        <f>ROUNDUP(Table2[[#This Row],[ Số lượng trúng thầu ]]*Table2[[#This Row],[Số tháng phát sinh]]/12/Table2[[#This Row],[Số tháng phát sinh]],0)</f>
        <v>3</v>
      </c>
      <c r="AK32" s="34">
        <f>ROUNDUP(Table2[[#This Row],[ Số lượng trúng thầu ]]*Table2[[#This Row],[Số tháng phát sinh]]/12/Table2[[#This Row],[Số tháng phát sinh]],0)</f>
        <v>3</v>
      </c>
      <c r="AL32" s="34">
        <f>ROUNDUP(Table2[[#This Row],[ Số lượng trúng thầu ]]*Table2[[#This Row],[Số tháng phát sinh]]/12/Table2[[#This Row],[Số tháng phát sinh]],0)</f>
        <v>3</v>
      </c>
      <c r="AM32" s="34">
        <f>ROUNDUP(Table2[[#This Row],[ Số lượng trúng thầu ]]*Table2[[#This Row],[Số tháng phát sinh]]/12/Table2[[#This Row],[Số tháng phát sinh]],0)</f>
        <v>3</v>
      </c>
      <c r="AN32" s="34">
        <f>ROUNDUP(Table2[[#This Row],[ Số lượng trúng thầu ]]*Table2[[#This Row],[Số tháng phát sinh]]/12/Table2[[#This Row],[Số tháng phát sinh]],0)</f>
        <v>3</v>
      </c>
    </row>
    <row r="33" spans="1:40" x14ac:dyDescent="0.35">
      <c r="A33" s="26">
        <v>8</v>
      </c>
      <c r="B33" s="26">
        <v>2025</v>
      </c>
      <c r="C33" s="26" t="s">
        <v>165</v>
      </c>
      <c r="D33" s="26" t="s">
        <v>166</v>
      </c>
      <c r="E33" s="26" t="s">
        <v>211</v>
      </c>
      <c r="F33" s="26" t="s">
        <v>255</v>
      </c>
      <c r="G33" s="26" t="s">
        <v>37</v>
      </c>
      <c r="H33" s="26" t="s">
        <v>169</v>
      </c>
      <c r="I33" s="26" t="s">
        <v>170</v>
      </c>
      <c r="J33" s="26" t="s">
        <v>4</v>
      </c>
      <c r="K33" s="26" t="s">
        <v>171</v>
      </c>
      <c r="L33" s="26" t="s">
        <v>172</v>
      </c>
      <c r="M33" s="26" t="s">
        <v>173</v>
      </c>
      <c r="N33" s="26">
        <v>5000</v>
      </c>
      <c r="O33" s="26">
        <v>44</v>
      </c>
      <c r="P33" s="27">
        <v>975000</v>
      </c>
      <c r="Q33" s="27" t="s">
        <v>183</v>
      </c>
      <c r="R33" s="27">
        <v>892500</v>
      </c>
      <c r="S33" s="29">
        <v>42900000</v>
      </c>
      <c r="T33" s="29">
        <f t="shared" si="0"/>
        <v>39270000</v>
      </c>
      <c r="U33" s="30">
        <v>0.48</v>
      </c>
      <c r="V33" s="26" t="s">
        <v>210</v>
      </c>
      <c r="W33" s="31">
        <v>7</v>
      </c>
      <c r="X33" s="28">
        <f t="shared" si="1"/>
        <v>22907500</v>
      </c>
      <c r="Y33" s="32">
        <f>VLOOKUP(Q33,'[3]DATA VALID'!M:O,3,FALSE)</f>
        <v>0.1</v>
      </c>
      <c r="Z33" s="33">
        <f>(R33-VLOOKUP(J33,'[3]DATA VALID'!G:K,5,FALSE))/R33-Y33*1.24</f>
        <v>0.3289512605042017</v>
      </c>
      <c r="AA33" s="33"/>
      <c r="AB33" s="33"/>
      <c r="AC33" s="33"/>
      <c r="AD33" s="33"/>
      <c r="AE33" s="34"/>
      <c r="AF33" s="34">
        <f>ROUNDUP(Table2[[#This Row],[ Số lượng trúng thầu ]]*Table2[[#This Row],[Số tháng phát sinh]]/12/Table2[[#This Row],[Số tháng phát sinh]],0)</f>
        <v>4</v>
      </c>
      <c r="AG33" s="34">
        <f>ROUNDUP(Table2[[#This Row],[ Số lượng trúng thầu ]]*Table2[[#This Row],[Số tháng phát sinh]]/12/Table2[[#This Row],[Số tháng phát sinh]],0)</f>
        <v>4</v>
      </c>
      <c r="AH33" s="34">
        <f>ROUNDUP(Table2[[#This Row],[ Số lượng trúng thầu ]]*Table2[[#This Row],[Số tháng phát sinh]]/12/Table2[[#This Row],[Số tháng phát sinh]],0)</f>
        <v>4</v>
      </c>
      <c r="AI33" s="34">
        <f>ROUNDUP(Table2[[#This Row],[ Số lượng trúng thầu ]]*Table2[[#This Row],[Số tháng phát sinh]]/12/Table2[[#This Row],[Số tháng phát sinh]],0)</f>
        <v>4</v>
      </c>
      <c r="AJ33" s="34">
        <f>ROUNDUP(Table2[[#This Row],[ Số lượng trúng thầu ]]*Table2[[#This Row],[Số tháng phát sinh]]/12/Table2[[#This Row],[Số tháng phát sinh]],0)</f>
        <v>4</v>
      </c>
      <c r="AK33" s="34">
        <f>ROUNDUP(Table2[[#This Row],[ Số lượng trúng thầu ]]*Table2[[#This Row],[Số tháng phát sinh]]/12/Table2[[#This Row],[Số tháng phát sinh]],0)</f>
        <v>4</v>
      </c>
      <c r="AL33" s="34">
        <f>ROUNDUP(Table2[[#This Row],[ Số lượng trúng thầu ]]*Table2[[#This Row],[Số tháng phát sinh]]/12/Table2[[#This Row],[Số tháng phát sinh]],0)</f>
        <v>4</v>
      </c>
      <c r="AM33" s="34">
        <f>ROUNDUP(Table2[[#This Row],[ Số lượng trúng thầu ]]*Table2[[#This Row],[Số tháng phát sinh]]/12/Table2[[#This Row],[Số tháng phát sinh]],0)</f>
        <v>4</v>
      </c>
      <c r="AN33" s="34">
        <f>ROUNDUP(Table2[[#This Row],[ Số lượng trúng thầu ]]*Table2[[#This Row],[Số tháng phát sinh]]/12/Table2[[#This Row],[Số tháng phát sinh]],0)</f>
        <v>4</v>
      </c>
    </row>
    <row r="34" spans="1:40" x14ac:dyDescent="0.35">
      <c r="A34" s="26">
        <v>8</v>
      </c>
      <c r="B34" s="26">
        <v>2025</v>
      </c>
      <c r="C34" s="26" t="s">
        <v>165</v>
      </c>
      <c r="D34" s="26" t="s">
        <v>166</v>
      </c>
      <c r="E34" s="26" t="s">
        <v>211</v>
      </c>
      <c r="F34" s="26" t="s">
        <v>255</v>
      </c>
      <c r="G34" s="26" t="s">
        <v>37</v>
      </c>
      <c r="H34" s="26" t="s">
        <v>176</v>
      </c>
      <c r="I34" s="26" t="s">
        <v>191</v>
      </c>
      <c r="J34" s="26" t="s">
        <v>11</v>
      </c>
      <c r="K34" s="26" t="s">
        <v>171</v>
      </c>
      <c r="L34" s="26" t="s">
        <v>172</v>
      </c>
      <c r="M34" s="26" t="s">
        <v>173</v>
      </c>
      <c r="N34" s="26">
        <v>5000</v>
      </c>
      <c r="O34" s="26">
        <v>50</v>
      </c>
      <c r="P34" s="27">
        <v>475000</v>
      </c>
      <c r="Q34" s="27" t="s">
        <v>183</v>
      </c>
      <c r="R34" s="28">
        <v>428925</v>
      </c>
      <c r="S34" s="29">
        <v>23750000</v>
      </c>
      <c r="T34" s="29">
        <f t="shared" ref="T34:T89" si="2">R34*O34</f>
        <v>21446250</v>
      </c>
      <c r="U34" s="30">
        <v>0.26</v>
      </c>
      <c r="V34" s="26" t="s">
        <v>210</v>
      </c>
      <c r="W34" s="31">
        <v>7</v>
      </c>
      <c r="X34" s="28">
        <f t="shared" ref="X34:X89" si="3">T34*W34/12</f>
        <v>12510312.5</v>
      </c>
      <c r="Y34" s="32">
        <f>VLOOKUP(Q34,'[3]DATA VALID'!M:O,3,FALSE)</f>
        <v>0.1</v>
      </c>
      <c r="Z34" s="33">
        <f>(R34-VLOOKUP(J34,'[3]DATA VALID'!G:K,5,FALSE))/R34-Y34*1.24</f>
        <v>0.42921559713236579</v>
      </c>
      <c r="AA34" s="33"/>
      <c r="AB34" s="33"/>
      <c r="AC34" s="33"/>
      <c r="AD34" s="33"/>
      <c r="AE34" s="34"/>
      <c r="AF34" s="34">
        <f>ROUNDUP(Table2[[#This Row],[ Số lượng trúng thầu ]]*Table2[[#This Row],[Số tháng phát sinh]]/12/Table2[[#This Row],[Số tháng phát sinh]],0)</f>
        <v>5</v>
      </c>
      <c r="AG34" s="34">
        <f>ROUNDUP(Table2[[#This Row],[ Số lượng trúng thầu ]]*Table2[[#This Row],[Số tháng phát sinh]]/12/Table2[[#This Row],[Số tháng phát sinh]],0)</f>
        <v>5</v>
      </c>
      <c r="AH34" s="34">
        <f>ROUNDUP(Table2[[#This Row],[ Số lượng trúng thầu ]]*Table2[[#This Row],[Số tháng phát sinh]]/12/Table2[[#This Row],[Số tháng phát sinh]],0)</f>
        <v>5</v>
      </c>
      <c r="AI34" s="34">
        <f>ROUNDUP(Table2[[#This Row],[ Số lượng trúng thầu ]]*Table2[[#This Row],[Số tháng phát sinh]]/12/Table2[[#This Row],[Số tháng phát sinh]],0)</f>
        <v>5</v>
      </c>
      <c r="AJ34" s="34">
        <f>ROUNDUP(Table2[[#This Row],[ Số lượng trúng thầu ]]*Table2[[#This Row],[Số tháng phát sinh]]/12/Table2[[#This Row],[Số tháng phát sinh]],0)</f>
        <v>5</v>
      </c>
      <c r="AK34" s="34">
        <f>ROUNDUP(Table2[[#This Row],[ Số lượng trúng thầu ]]*Table2[[#This Row],[Số tháng phát sinh]]/12/Table2[[#This Row],[Số tháng phát sinh]],0)</f>
        <v>5</v>
      </c>
      <c r="AL34" s="34">
        <f>ROUNDUP(Table2[[#This Row],[ Số lượng trúng thầu ]]*Table2[[#This Row],[Số tháng phát sinh]]/12/Table2[[#This Row],[Số tháng phát sinh]],0)</f>
        <v>5</v>
      </c>
      <c r="AM34" s="34">
        <f>ROUNDUP(Table2[[#This Row],[ Số lượng trúng thầu ]]*Table2[[#This Row],[Số tháng phát sinh]]/12/Table2[[#This Row],[Số tháng phát sinh]],0)</f>
        <v>5</v>
      </c>
      <c r="AN34" s="34">
        <f>ROUNDUP(Table2[[#This Row],[ Số lượng trúng thầu ]]*Table2[[#This Row],[Số tháng phát sinh]]/12/Table2[[#This Row],[Số tháng phát sinh]],0)</f>
        <v>5</v>
      </c>
    </row>
    <row r="35" spans="1:40" x14ac:dyDescent="0.35">
      <c r="A35" s="26">
        <v>8</v>
      </c>
      <c r="B35" s="26">
        <v>2025</v>
      </c>
      <c r="C35" s="26" t="s">
        <v>165</v>
      </c>
      <c r="D35" s="26" t="s">
        <v>166</v>
      </c>
      <c r="E35" s="26" t="s">
        <v>167</v>
      </c>
      <c r="F35" s="26" t="s">
        <v>256</v>
      </c>
      <c r="G35" s="26" t="s">
        <v>25</v>
      </c>
      <c r="H35" s="26" t="s">
        <v>176</v>
      </c>
      <c r="I35" s="26" t="s">
        <v>204</v>
      </c>
      <c r="J35" s="26" t="s">
        <v>4</v>
      </c>
      <c r="K35" s="26" t="s">
        <v>171</v>
      </c>
      <c r="L35" s="26" t="s">
        <v>172</v>
      </c>
      <c r="M35" s="26" t="s">
        <v>173</v>
      </c>
      <c r="N35" s="26">
        <v>5000</v>
      </c>
      <c r="O35" s="26">
        <v>139</v>
      </c>
      <c r="P35" s="27">
        <v>1058400</v>
      </c>
      <c r="Q35" s="27" t="s">
        <v>227</v>
      </c>
      <c r="R35" s="28">
        <v>714000</v>
      </c>
      <c r="S35" s="29">
        <v>147117600</v>
      </c>
      <c r="T35" s="29">
        <f t="shared" si="2"/>
        <v>99246000</v>
      </c>
      <c r="U35" s="30">
        <v>0.39</v>
      </c>
      <c r="V35" s="26" t="s">
        <v>257</v>
      </c>
      <c r="W35" s="31">
        <v>7</v>
      </c>
      <c r="X35" s="28">
        <f t="shared" si="3"/>
        <v>57893500</v>
      </c>
      <c r="Y35" s="32">
        <f>VLOOKUP(Q35,'[3]DATA VALID'!M:O,3,FALSE)</f>
        <v>0</v>
      </c>
      <c r="Z35" s="33">
        <f>(R35-VLOOKUP(J35,'[3]DATA VALID'!G:K,5,FALSE))/R35-Y35*1.24</f>
        <v>0.31618907563025211</v>
      </c>
      <c r="AA35" s="33"/>
      <c r="AB35" s="33"/>
      <c r="AC35" s="33"/>
      <c r="AD35" s="33"/>
      <c r="AE35" s="34"/>
      <c r="AF35" s="34">
        <f>ROUNDUP(Table2[[#This Row],[ Số lượng trúng thầu ]]*Table2[[#This Row],[Số tháng phát sinh]]/12/Table2[[#This Row],[Số tháng phát sinh]],0)</f>
        <v>12</v>
      </c>
      <c r="AG35" s="34">
        <f>ROUNDUP(Table2[[#This Row],[ Số lượng trúng thầu ]]*Table2[[#This Row],[Số tháng phát sinh]]/12/Table2[[#This Row],[Số tháng phát sinh]],0)</f>
        <v>12</v>
      </c>
      <c r="AH35" s="34">
        <f>ROUNDUP(Table2[[#This Row],[ Số lượng trúng thầu ]]*Table2[[#This Row],[Số tháng phát sinh]]/12/Table2[[#This Row],[Số tháng phát sinh]],0)</f>
        <v>12</v>
      </c>
      <c r="AI35" s="34">
        <f>ROUNDUP(Table2[[#This Row],[ Số lượng trúng thầu ]]*Table2[[#This Row],[Số tháng phát sinh]]/12/Table2[[#This Row],[Số tháng phát sinh]],0)</f>
        <v>12</v>
      </c>
      <c r="AJ35" s="34">
        <f>ROUNDUP(Table2[[#This Row],[ Số lượng trúng thầu ]]*Table2[[#This Row],[Số tháng phát sinh]]/12/Table2[[#This Row],[Số tháng phát sinh]],0)</f>
        <v>12</v>
      </c>
      <c r="AK35" s="34">
        <f>ROUNDUP(Table2[[#This Row],[ Số lượng trúng thầu ]]*Table2[[#This Row],[Số tháng phát sinh]]/12/Table2[[#This Row],[Số tháng phát sinh]],0)</f>
        <v>12</v>
      </c>
      <c r="AL35" s="34">
        <f>ROUNDUP(Table2[[#This Row],[ Số lượng trúng thầu ]]*Table2[[#This Row],[Số tháng phát sinh]]/12/Table2[[#This Row],[Số tháng phát sinh]],0)</f>
        <v>12</v>
      </c>
      <c r="AM35" s="34">
        <f>ROUNDUP(Table2[[#This Row],[ Số lượng trúng thầu ]]*Table2[[#This Row],[Số tháng phát sinh]]/12/Table2[[#This Row],[Số tháng phát sinh]],0)</f>
        <v>12</v>
      </c>
      <c r="AN35" s="34">
        <f>ROUNDUP(Table2[[#This Row],[ Số lượng trúng thầu ]]*Table2[[#This Row],[Số tháng phát sinh]]/12/Table2[[#This Row],[Số tháng phát sinh]],0)</f>
        <v>12</v>
      </c>
    </row>
    <row r="36" spans="1:40" x14ac:dyDescent="0.35">
      <c r="A36" s="26">
        <v>8</v>
      </c>
      <c r="B36" s="26">
        <v>2025</v>
      </c>
      <c r="C36" s="26" t="s">
        <v>165</v>
      </c>
      <c r="D36" s="26" t="s">
        <v>166</v>
      </c>
      <c r="E36" s="26" t="s">
        <v>167</v>
      </c>
      <c r="F36" s="26" t="s">
        <v>256</v>
      </c>
      <c r="G36" s="26" t="s">
        <v>25</v>
      </c>
      <c r="H36" s="26" t="s">
        <v>176</v>
      </c>
      <c r="I36" s="26" t="s">
        <v>209</v>
      </c>
      <c r="J36" s="31" t="s">
        <v>6</v>
      </c>
      <c r="K36" s="26" t="s">
        <v>171</v>
      </c>
      <c r="L36" s="26" t="s">
        <v>178</v>
      </c>
      <c r="M36" s="26" t="s">
        <v>173</v>
      </c>
      <c r="N36" s="26">
        <v>1000</v>
      </c>
      <c r="O36" s="26">
        <v>128</v>
      </c>
      <c r="P36" s="27">
        <v>424200</v>
      </c>
      <c r="Q36" s="27" t="s">
        <v>227</v>
      </c>
      <c r="R36" s="27">
        <v>252000</v>
      </c>
      <c r="S36" s="29">
        <v>54297600</v>
      </c>
      <c r="T36" s="29">
        <f t="shared" si="2"/>
        <v>32256000</v>
      </c>
      <c r="U36" s="30">
        <v>0.14000000000000001</v>
      </c>
      <c r="V36" s="26" t="s">
        <v>258</v>
      </c>
      <c r="W36" s="31">
        <v>7</v>
      </c>
      <c r="X36" s="28">
        <f t="shared" si="3"/>
        <v>18816000</v>
      </c>
      <c r="Y36" s="32">
        <f>VLOOKUP(Q36,'[3]DATA VALID'!M:O,3,FALSE)</f>
        <v>0</v>
      </c>
      <c r="Z36" s="33">
        <f>(R36-VLOOKUP(J36,'[3]DATA VALID'!G:K,5,FALSE))/R36-Y36*1.24</f>
        <v>0.17750119047619031</v>
      </c>
      <c r="AA36" s="33"/>
      <c r="AB36" s="33"/>
      <c r="AC36" s="33"/>
      <c r="AD36" s="33"/>
      <c r="AE36" s="34"/>
      <c r="AF36" s="34">
        <f>ROUNDUP(Table2[[#This Row],[ Số lượng trúng thầu ]]*Table2[[#This Row],[Số tháng phát sinh]]/12/Table2[[#This Row],[Số tháng phát sinh]],0)</f>
        <v>11</v>
      </c>
      <c r="AG36" s="34">
        <f>ROUNDUP(Table2[[#This Row],[ Số lượng trúng thầu ]]*Table2[[#This Row],[Số tháng phát sinh]]/12/Table2[[#This Row],[Số tháng phát sinh]],0)</f>
        <v>11</v>
      </c>
      <c r="AH36" s="34">
        <f>ROUNDUP(Table2[[#This Row],[ Số lượng trúng thầu ]]*Table2[[#This Row],[Số tháng phát sinh]]/12/Table2[[#This Row],[Số tháng phát sinh]],0)</f>
        <v>11</v>
      </c>
      <c r="AI36" s="34">
        <f>ROUNDUP(Table2[[#This Row],[ Số lượng trúng thầu ]]*Table2[[#This Row],[Số tháng phát sinh]]/12/Table2[[#This Row],[Số tháng phát sinh]],0)</f>
        <v>11</v>
      </c>
      <c r="AJ36" s="34">
        <f>ROUNDUP(Table2[[#This Row],[ Số lượng trúng thầu ]]*Table2[[#This Row],[Số tháng phát sinh]]/12/Table2[[#This Row],[Số tháng phát sinh]],0)</f>
        <v>11</v>
      </c>
      <c r="AK36" s="34">
        <f>ROUNDUP(Table2[[#This Row],[ Số lượng trúng thầu ]]*Table2[[#This Row],[Số tháng phát sinh]]/12/Table2[[#This Row],[Số tháng phát sinh]],0)</f>
        <v>11</v>
      </c>
      <c r="AL36" s="34">
        <f>ROUNDUP(Table2[[#This Row],[ Số lượng trúng thầu ]]*Table2[[#This Row],[Số tháng phát sinh]]/12/Table2[[#This Row],[Số tháng phát sinh]],0)</f>
        <v>11</v>
      </c>
      <c r="AM36" s="34">
        <f>ROUNDUP(Table2[[#This Row],[ Số lượng trúng thầu ]]*Table2[[#This Row],[Số tháng phát sinh]]/12/Table2[[#This Row],[Số tháng phát sinh]],0)</f>
        <v>11</v>
      </c>
      <c r="AN36" s="34">
        <f>ROUNDUP(Table2[[#This Row],[ Số lượng trúng thầu ]]*Table2[[#This Row],[Số tháng phát sinh]]/12/Table2[[#This Row],[Số tháng phát sinh]],0)</f>
        <v>11</v>
      </c>
    </row>
    <row r="37" spans="1:40" x14ac:dyDescent="0.35">
      <c r="A37" s="26">
        <v>8</v>
      </c>
      <c r="B37" s="26">
        <v>2025</v>
      </c>
      <c r="C37" s="26" t="s">
        <v>165</v>
      </c>
      <c r="D37" s="26" t="s">
        <v>166</v>
      </c>
      <c r="E37" s="26" t="s">
        <v>167</v>
      </c>
      <c r="F37" s="26" t="s">
        <v>256</v>
      </c>
      <c r="G37" s="26" t="s">
        <v>25</v>
      </c>
      <c r="H37" s="26" t="s">
        <v>176</v>
      </c>
      <c r="I37" s="26" t="s">
        <v>177</v>
      </c>
      <c r="J37" s="31" t="s">
        <v>9</v>
      </c>
      <c r="K37" s="26" t="s">
        <v>171</v>
      </c>
      <c r="L37" s="26" t="s">
        <v>178</v>
      </c>
      <c r="M37" s="26" t="s">
        <v>173</v>
      </c>
      <c r="N37" s="26">
        <v>5000</v>
      </c>
      <c r="O37" s="26">
        <v>70</v>
      </c>
      <c r="P37" s="27">
        <v>1669500</v>
      </c>
      <c r="Q37" s="27" t="s">
        <v>227</v>
      </c>
      <c r="R37" s="27">
        <v>1218000</v>
      </c>
      <c r="S37" s="29">
        <v>116865000</v>
      </c>
      <c r="T37" s="29">
        <f t="shared" si="2"/>
        <v>85260000</v>
      </c>
      <c r="U37" s="30">
        <v>0.31</v>
      </c>
      <c r="V37" s="26" t="s">
        <v>259</v>
      </c>
      <c r="W37" s="31">
        <v>7</v>
      </c>
      <c r="X37" s="28">
        <f t="shared" si="3"/>
        <v>49735000</v>
      </c>
      <c r="Y37" s="32">
        <f>VLOOKUP(Q37,'[3]DATA VALID'!M:O,3,FALSE)</f>
        <v>0</v>
      </c>
      <c r="Z37" s="33">
        <f>(R37-VLOOKUP(J37,'[3]DATA VALID'!G:K,5,FALSE))/R37-Y37*1.24</f>
        <v>0.49399014778325123</v>
      </c>
      <c r="AA37" s="33"/>
      <c r="AB37" s="33"/>
      <c r="AC37" s="33"/>
      <c r="AD37" s="33"/>
      <c r="AE37" s="34"/>
      <c r="AF37" s="34">
        <f>ROUNDUP(Table2[[#This Row],[ Số lượng trúng thầu ]]*Table2[[#This Row],[Số tháng phát sinh]]/12/Table2[[#This Row],[Số tháng phát sinh]],0)</f>
        <v>6</v>
      </c>
      <c r="AG37" s="34">
        <f>ROUNDUP(Table2[[#This Row],[ Số lượng trúng thầu ]]*Table2[[#This Row],[Số tháng phát sinh]]/12/Table2[[#This Row],[Số tháng phát sinh]],0)</f>
        <v>6</v>
      </c>
      <c r="AH37" s="34">
        <f>ROUNDUP(Table2[[#This Row],[ Số lượng trúng thầu ]]*Table2[[#This Row],[Số tháng phát sinh]]/12/Table2[[#This Row],[Số tháng phát sinh]],0)</f>
        <v>6</v>
      </c>
      <c r="AI37" s="34">
        <f>ROUNDUP(Table2[[#This Row],[ Số lượng trúng thầu ]]*Table2[[#This Row],[Số tháng phát sinh]]/12/Table2[[#This Row],[Số tháng phát sinh]],0)</f>
        <v>6</v>
      </c>
      <c r="AJ37" s="34">
        <f>ROUNDUP(Table2[[#This Row],[ Số lượng trúng thầu ]]*Table2[[#This Row],[Số tháng phát sinh]]/12/Table2[[#This Row],[Số tháng phát sinh]],0)</f>
        <v>6</v>
      </c>
      <c r="AK37" s="34">
        <f>ROUNDUP(Table2[[#This Row],[ Số lượng trúng thầu ]]*Table2[[#This Row],[Số tháng phát sinh]]/12/Table2[[#This Row],[Số tháng phát sinh]],0)</f>
        <v>6</v>
      </c>
      <c r="AL37" s="34">
        <f>ROUNDUP(Table2[[#This Row],[ Số lượng trúng thầu ]]*Table2[[#This Row],[Số tháng phát sinh]]/12/Table2[[#This Row],[Số tháng phát sinh]],0)</f>
        <v>6</v>
      </c>
      <c r="AM37" s="34">
        <f>ROUNDUP(Table2[[#This Row],[ Số lượng trúng thầu ]]*Table2[[#This Row],[Số tháng phát sinh]]/12/Table2[[#This Row],[Số tháng phát sinh]],0)</f>
        <v>6</v>
      </c>
      <c r="AN37" s="34">
        <f>ROUNDUP(Table2[[#This Row],[ Số lượng trúng thầu ]]*Table2[[#This Row],[Số tháng phát sinh]]/12/Table2[[#This Row],[Số tháng phát sinh]],0)</f>
        <v>6</v>
      </c>
    </row>
    <row r="38" spans="1:40" x14ac:dyDescent="0.35">
      <c r="A38" s="26">
        <v>7</v>
      </c>
      <c r="B38" s="26">
        <v>2025</v>
      </c>
      <c r="C38" s="26" t="s">
        <v>165</v>
      </c>
      <c r="D38" s="26" t="s">
        <v>189</v>
      </c>
      <c r="E38" s="26" t="s">
        <v>194</v>
      </c>
      <c r="F38" s="26" t="s">
        <v>260</v>
      </c>
      <c r="G38" s="26" t="s">
        <v>63</v>
      </c>
      <c r="H38" s="26" t="s">
        <v>176</v>
      </c>
      <c r="I38" s="26" t="s">
        <v>191</v>
      </c>
      <c r="J38" s="26" t="s">
        <v>11</v>
      </c>
      <c r="K38" s="26" t="s">
        <v>171</v>
      </c>
      <c r="L38" s="26" t="s">
        <v>172</v>
      </c>
      <c r="M38" s="26" t="s">
        <v>173</v>
      </c>
      <c r="N38" s="26">
        <v>1000</v>
      </c>
      <c r="O38" s="26">
        <v>5</v>
      </c>
      <c r="P38" s="27">
        <v>122000</v>
      </c>
      <c r="Q38" s="27" t="s">
        <v>183</v>
      </c>
      <c r="R38" s="28">
        <f>428925/5</f>
        <v>85785</v>
      </c>
      <c r="S38" s="29">
        <v>610000</v>
      </c>
      <c r="T38" s="29">
        <f t="shared" si="2"/>
        <v>428925</v>
      </c>
      <c r="U38" s="30">
        <v>0.04</v>
      </c>
      <c r="V38" s="26" t="s">
        <v>210</v>
      </c>
      <c r="W38" s="31">
        <v>8</v>
      </c>
      <c r="X38" s="28">
        <f t="shared" si="3"/>
        <v>285950</v>
      </c>
      <c r="Y38" s="32">
        <f>VLOOKUP(Q38,'[3]DATA VALID'!M:O,3,FALSE)</f>
        <v>0.1</v>
      </c>
      <c r="Z38" s="33">
        <f>(R38*5-VLOOKUP(J38,'[3]DATA VALID'!G:K,5,FALSE))/(R38*5)-Y38*1.24</f>
        <v>0.42921559713236579</v>
      </c>
      <c r="AA38" s="33"/>
      <c r="AB38" s="33"/>
      <c r="AC38" s="33"/>
      <c r="AD38" s="33"/>
      <c r="AE38" s="34">
        <f>ROUNDUP(Table2[[#This Row],[ Số lượng trúng thầu ]]*Table2[[#This Row],[Số tháng phát sinh]]/12/9,0)</f>
        <v>1</v>
      </c>
      <c r="AF38" s="34">
        <f>ROUNDUP(Table2[[#This Row],[ Số lượng trúng thầu ]]*Table2[[#This Row],[Số tháng phát sinh]]/12/9,0)</f>
        <v>1</v>
      </c>
      <c r="AG38" s="34">
        <f>ROUNDUP(Table2[[#This Row],[ Số lượng trúng thầu ]]*Table2[[#This Row],[Số tháng phát sinh]]/12/9,0)</f>
        <v>1</v>
      </c>
      <c r="AH38" s="34">
        <f>ROUNDUP(Table2[[#This Row],[ Số lượng trúng thầu ]]*Table2[[#This Row],[Số tháng phát sinh]]/12/9,0)</f>
        <v>1</v>
      </c>
      <c r="AI38" s="34">
        <f>ROUNDUP(Table2[[#This Row],[ Số lượng trúng thầu ]]*Table2[[#This Row],[Số tháng phát sinh]]/12/9,0)</f>
        <v>1</v>
      </c>
      <c r="AJ38" s="34">
        <f>ROUNDUP(Table2[[#This Row],[ Số lượng trúng thầu ]]*Table2[[#This Row],[Số tháng phát sinh]]/12/9,0)</f>
        <v>1</v>
      </c>
      <c r="AK38" s="34">
        <f>ROUNDUP(Table2[[#This Row],[ Số lượng trúng thầu ]]*Table2[[#This Row],[Số tháng phát sinh]]/12/9,0)</f>
        <v>1</v>
      </c>
      <c r="AL38" s="34">
        <f>ROUNDUP(Table2[[#This Row],[ Số lượng trúng thầu ]]*Table2[[#This Row],[Số tháng phát sinh]]/12/9,0)</f>
        <v>1</v>
      </c>
      <c r="AM38" s="34">
        <f>ROUNDUP(Table2[[#This Row],[ Số lượng trúng thầu ]]*Table2[[#This Row],[Số tháng phát sinh]]/12/9,0)</f>
        <v>1</v>
      </c>
      <c r="AN38" s="34">
        <f>ROUNDUP(Table2[[#This Row],[ Số lượng trúng thầu ]]*Table2[[#This Row],[Số tháng phát sinh]]/12/9,0)</f>
        <v>1</v>
      </c>
    </row>
    <row r="39" spans="1:40" x14ac:dyDescent="0.35">
      <c r="A39" s="26">
        <v>9</v>
      </c>
      <c r="B39" s="26">
        <v>2025</v>
      </c>
      <c r="C39" s="26" t="s">
        <v>165</v>
      </c>
      <c r="D39" s="26" t="s">
        <v>189</v>
      </c>
      <c r="E39" s="26" t="s">
        <v>208</v>
      </c>
      <c r="F39" s="26" t="s">
        <v>261</v>
      </c>
      <c r="G39" s="26" t="s">
        <v>23</v>
      </c>
      <c r="H39" s="26" t="s">
        <v>176</v>
      </c>
      <c r="I39" s="26" t="s">
        <v>204</v>
      </c>
      <c r="J39" s="26" t="s">
        <v>4</v>
      </c>
      <c r="K39" s="26" t="s">
        <v>171</v>
      </c>
      <c r="L39" s="26" t="s">
        <v>172</v>
      </c>
      <c r="M39" s="26" t="s">
        <v>173</v>
      </c>
      <c r="N39" s="26">
        <v>5000</v>
      </c>
      <c r="O39" s="26">
        <v>125</v>
      </c>
      <c r="P39" s="27">
        <v>1260000</v>
      </c>
      <c r="Q39" s="27" t="s">
        <v>183</v>
      </c>
      <c r="R39" s="28">
        <v>980000</v>
      </c>
      <c r="S39" s="29">
        <v>157500000</v>
      </c>
      <c r="T39" s="29">
        <f t="shared" si="2"/>
        <v>122500000</v>
      </c>
      <c r="U39" s="30">
        <v>0.42</v>
      </c>
      <c r="V39" s="26" t="s">
        <v>262</v>
      </c>
      <c r="W39" s="31">
        <v>6</v>
      </c>
      <c r="X39" s="28">
        <f t="shared" si="3"/>
        <v>61250000</v>
      </c>
      <c r="Y39" s="32">
        <f>VLOOKUP(Q39,'[3]DATA VALID'!M:O,3,FALSE)</f>
        <v>0.1</v>
      </c>
      <c r="Z39" s="33">
        <f>(R39-VLOOKUP(J39,'[3]DATA VALID'!G:K,5,FALSE))/R39-Y39*1.24</f>
        <v>0.37779489795918364</v>
      </c>
      <c r="AA39" s="33"/>
      <c r="AB39" s="33"/>
      <c r="AC39" s="33"/>
      <c r="AD39" s="33"/>
      <c r="AE39" s="34"/>
      <c r="AF39" s="34"/>
      <c r="AG39" s="34">
        <f>ROUNDUP(Table2[[#This Row],[ Số lượng trúng thầu ]]*Table2[[#This Row],[Số tháng phát sinh]]/12/Table2[[#This Row],[Số tháng phát sinh]],0)</f>
        <v>11</v>
      </c>
      <c r="AH39" s="34">
        <f>ROUNDUP(Table2[[#This Row],[ Số lượng trúng thầu ]]*Table2[[#This Row],[Số tháng phát sinh]]/12/Table2[[#This Row],[Số tháng phát sinh]],0)</f>
        <v>11</v>
      </c>
      <c r="AI39" s="34">
        <f>ROUNDUP(Table2[[#This Row],[ Số lượng trúng thầu ]]*Table2[[#This Row],[Số tháng phát sinh]]/12/Table2[[#This Row],[Số tháng phát sinh]],0)</f>
        <v>11</v>
      </c>
      <c r="AJ39" s="34">
        <f>ROUNDUP(Table2[[#This Row],[ Số lượng trúng thầu ]]*Table2[[#This Row],[Số tháng phát sinh]]/12/Table2[[#This Row],[Số tháng phát sinh]],0)</f>
        <v>11</v>
      </c>
      <c r="AK39" s="34">
        <f>ROUNDUP(Table2[[#This Row],[ Số lượng trúng thầu ]]*Table2[[#This Row],[Số tháng phát sinh]]/12/Table2[[#This Row],[Số tháng phát sinh]],0)</f>
        <v>11</v>
      </c>
      <c r="AL39" s="34">
        <f>ROUNDUP(Table2[[#This Row],[ Số lượng trúng thầu ]]*Table2[[#This Row],[Số tháng phát sinh]]/12/Table2[[#This Row],[Số tháng phát sinh]],0)</f>
        <v>11</v>
      </c>
      <c r="AM39" s="34">
        <f>ROUNDUP(Table2[[#This Row],[ Số lượng trúng thầu ]]*Table2[[#This Row],[Số tháng phát sinh]]/12/Table2[[#This Row],[Số tháng phát sinh]],0)</f>
        <v>11</v>
      </c>
      <c r="AN39" s="34">
        <f>ROUNDUP(Table2[[#This Row],[ Số lượng trúng thầu ]]*Table2[[#This Row],[Số tháng phát sinh]]/12/Table2[[#This Row],[Số tháng phát sinh]],0)</f>
        <v>11</v>
      </c>
    </row>
    <row r="40" spans="1:40" x14ac:dyDescent="0.35">
      <c r="A40" s="26">
        <v>9</v>
      </c>
      <c r="B40" s="26">
        <v>2025</v>
      </c>
      <c r="C40" s="26" t="s">
        <v>165</v>
      </c>
      <c r="D40" s="26" t="s">
        <v>189</v>
      </c>
      <c r="E40" s="26" t="s">
        <v>208</v>
      </c>
      <c r="F40" s="26" t="s">
        <v>261</v>
      </c>
      <c r="G40" s="26" t="s">
        <v>23</v>
      </c>
      <c r="H40" s="26" t="s">
        <v>176</v>
      </c>
      <c r="I40" s="26" t="s">
        <v>177</v>
      </c>
      <c r="J40" s="31" t="s">
        <v>12</v>
      </c>
      <c r="K40" s="26" t="s">
        <v>171</v>
      </c>
      <c r="L40" s="26" t="s">
        <v>178</v>
      </c>
      <c r="M40" s="26" t="s">
        <v>173</v>
      </c>
      <c r="N40" s="26">
        <v>1000</v>
      </c>
      <c r="O40" s="26">
        <v>25</v>
      </c>
      <c r="P40" s="27">
        <v>400000</v>
      </c>
      <c r="Q40" s="27" t="s">
        <v>183</v>
      </c>
      <c r="R40" s="28">
        <f>1450000/5</f>
        <v>290000</v>
      </c>
      <c r="S40" s="29">
        <v>10000000</v>
      </c>
      <c r="T40" s="29">
        <f t="shared" si="2"/>
        <v>7250000</v>
      </c>
      <c r="U40" s="30">
        <v>0.03</v>
      </c>
      <c r="V40" s="26" t="s">
        <v>263</v>
      </c>
      <c r="W40" s="31">
        <v>6</v>
      </c>
      <c r="X40" s="28">
        <f t="shared" si="3"/>
        <v>3625000</v>
      </c>
      <c r="Y40" s="32">
        <f>VLOOKUP(Q40,'[3]DATA VALID'!M:O,3,FALSE)</f>
        <v>0.1</v>
      </c>
      <c r="Z40" s="33">
        <f>(R40-VLOOKUP(J40,'[3]DATA VALID'!G:K,5,FALSE))/R40-Y40*1.24</f>
        <v>0.40335517241379315</v>
      </c>
      <c r="AA40" s="33"/>
      <c r="AB40" s="33"/>
      <c r="AC40" s="33"/>
      <c r="AD40" s="33"/>
      <c r="AE40" s="34"/>
      <c r="AF40" s="34"/>
      <c r="AG40" s="34">
        <f>ROUNDUP(Table2[[#This Row],[ Số lượng trúng thầu ]]*Table2[[#This Row],[Số tháng phát sinh]]/12/Table2[[#This Row],[Số tháng phát sinh]],0)</f>
        <v>3</v>
      </c>
      <c r="AH40" s="34">
        <f>ROUNDUP(Table2[[#This Row],[ Số lượng trúng thầu ]]*Table2[[#This Row],[Số tháng phát sinh]]/12/Table2[[#This Row],[Số tháng phát sinh]],0)</f>
        <v>3</v>
      </c>
      <c r="AI40" s="34">
        <f>ROUNDUP(Table2[[#This Row],[ Số lượng trúng thầu ]]*Table2[[#This Row],[Số tháng phát sinh]]/12/Table2[[#This Row],[Số tháng phát sinh]],0)</f>
        <v>3</v>
      </c>
      <c r="AJ40" s="34">
        <f>ROUNDUP(Table2[[#This Row],[ Số lượng trúng thầu ]]*Table2[[#This Row],[Số tháng phát sinh]]/12/Table2[[#This Row],[Số tháng phát sinh]],0)</f>
        <v>3</v>
      </c>
      <c r="AK40" s="34">
        <f>ROUNDUP(Table2[[#This Row],[ Số lượng trúng thầu ]]*Table2[[#This Row],[Số tháng phát sinh]]/12/Table2[[#This Row],[Số tháng phát sinh]],0)</f>
        <v>3</v>
      </c>
      <c r="AL40" s="34">
        <f>ROUNDUP(Table2[[#This Row],[ Số lượng trúng thầu ]]*Table2[[#This Row],[Số tháng phát sinh]]/12/Table2[[#This Row],[Số tháng phát sinh]],0)</f>
        <v>3</v>
      </c>
      <c r="AM40" s="34">
        <f>ROUNDUP(Table2[[#This Row],[ Số lượng trúng thầu ]]*Table2[[#This Row],[Số tháng phát sinh]]/12/Table2[[#This Row],[Số tháng phát sinh]],0)</f>
        <v>3</v>
      </c>
      <c r="AN40" s="34">
        <f>ROUNDUP(Table2[[#This Row],[ Số lượng trúng thầu ]]*Table2[[#This Row],[Số tháng phát sinh]]/12/Table2[[#This Row],[Số tháng phát sinh]],0)</f>
        <v>3</v>
      </c>
    </row>
    <row r="41" spans="1:40" x14ac:dyDescent="0.35">
      <c r="A41" s="26">
        <v>9</v>
      </c>
      <c r="B41" s="26">
        <v>2025</v>
      </c>
      <c r="C41" s="26" t="s">
        <v>165</v>
      </c>
      <c r="D41" s="26" t="s">
        <v>189</v>
      </c>
      <c r="E41" s="26" t="s">
        <v>208</v>
      </c>
      <c r="F41" s="26" t="s">
        <v>261</v>
      </c>
      <c r="G41" s="26" t="s">
        <v>23</v>
      </c>
      <c r="H41" s="26" t="s">
        <v>176</v>
      </c>
      <c r="I41" s="26" t="s">
        <v>199</v>
      </c>
      <c r="J41" s="31" t="s">
        <v>8</v>
      </c>
      <c r="K41" s="26" t="s">
        <v>186</v>
      </c>
      <c r="L41" s="26" t="s">
        <v>200</v>
      </c>
      <c r="M41" s="26" t="s">
        <v>173</v>
      </c>
      <c r="N41" s="26">
        <v>1000</v>
      </c>
      <c r="O41" s="26">
        <v>2</v>
      </c>
      <c r="P41" s="27">
        <v>332500</v>
      </c>
      <c r="Q41" s="27" t="s">
        <v>183</v>
      </c>
      <c r="R41" s="28">
        <v>260000</v>
      </c>
      <c r="S41" s="29">
        <v>665000</v>
      </c>
      <c r="T41" s="29">
        <f t="shared" si="2"/>
        <v>520000</v>
      </c>
      <c r="U41" s="30">
        <v>0</v>
      </c>
      <c r="V41" s="26" t="s">
        <v>264</v>
      </c>
      <c r="W41" s="31">
        <v>6</v>
      </c>
      <c r="X41" s="28">
        <f t="shared" si="3"/>
        <v>260000</v>
      </c>
      <c r="Y41" s="32">
        <f>VLOOKUP(Q41,'[3]DATA VALID'!M:O,3,FALSE)</f>
        <v>0.1</v>
      </c>
      <c r="Z41" s="33">
        <f>(R41-VLOOKUP(J41,'[3]DATA VALID'!G:K,5,FALSE))/R41-Y41*1.24</f>
        <v>0.39375923076923069</v>
      </c>
      <c r="AA41" s="33"/>
      <c r="AB41" s="33"/>
      <c r="AC41" s="33"/>
      <c r="AD41" s="33"/>
      <c r="AE41" s="34"/>
      <c r="AF41" s="34"/>
      <c r="AG41" s="34">
        <f>ROUNDUP(Table2[[#This Row],[ Số lượng trúng thầu ]]*Table2[[#This Row],[Số tháng phát sinh]]/12/Table2[[#This Row],[Số tháng phát sinh]],0)</f>
        <v>1</v>
      </c>
      <c r="AH41" s="34">
        <f>ROUNDUP(Table2[[#This Row],[ Số lượng trúng thầu ]]*Table2[[#This Row],[Số tháng phát sinh]]/12/Table2[[#This Row],[Số tháng phát sinh]],0)</f>
        <v>1</v>
      </c>
      <c r="AI41" s="34">
        <f>ROUNDUP(Table2[[#This Row],[ Số lượng trúng thầu ]]*Table2[[#This Row],[Số tháng phát sinh]]/12/Table2[[#This Row],[Số tháng phát sinh]],0)</f>
        <v>1</v>
      </c>
      <c r="AJ41" s="34">
        <f>ROUNDUP(Table2[[#This Row],[ Số lượng trúng thầu ]]*Table2[[#This Row],[Số tháng phát sinh]]/12/Table2[[#This Row],[Số tháng phát sinh]],0)</f>
        <v>1</v>
      </c>
      <c r="AK41" s="34">
        <f>ROUNDUP(Table2[[#This Row],[ Số lượng trúng thầu ]]*Table2[[#This Row],[Số tháng phát sinh]]/12/Table2[[#This Row],[Số tháng phát sinh]],0)</f>
        <v>1</v>
      </c>
      <c r="AL41" s="34">
        <f>ROUNDUP(Table2[[#This Row],[ Số lượng trúng thầu ]]*Table2[[#This Row],[Số tháng phát sinh]]/12/Table2[[#This Row],[Số tháng phát sinh]],0)</f>
        <v>1</v>
      </c>
      <c r="AM41" s="34">
        <f>ROUNDUP(Table2[[#This Row],[ Số lượng trúng thầu ]]*Table2[[#This Row],[Số tháng phát sinh]]/12/Table2[[#This Row],[Số tháng phát sinh]],0)</f>
        <v>1</v>
      </c>
      <c r="AN41" s="34">
        <f>ROUNDUP(Table2[[#This Row],[ Số lượng trúng thầu ]]*Table2[[#This Row],[Số tháng phát sinh]]/12/Table2[[#This Row],[Số tháng phát sinh]],0)</f>
        <v>1</v>
      </c>
    </row>
    <row r="42" spans="1:40" x14ac:dyDescent="0.35">
      <c r="A42" s="26">
        <v>8</v>
      </c>
      <c r="B42" s="26">
        <v>2025</v>
      </c>
      <c r="C42" s="26" t="s">
        <v>165</v>
      </c>
      <c r="D42" s="26" t="s">
        <v>166</v>
      </c>
      <c r="E42" s="26" t="s">
        <v>180</v>
      </c>
      <c r="F42" s="26" t="s">
        <v>265</v>
      </c>
      <c r="G42" s="26" t="s">
        <v>65</v>
      </c>
      <c r="H42" s="26" t="s">
        <v>176</v>
      </c>
      <c r="I42" s="26" t="s">
        <v>185</v>
      </c>
      <c r="J42" s="26" t="str">
        <f>VLOOKUP(I42,'[3]DATA VALID'!A:B,2,FALSE)</f>
        <v>Exeol wipe optimal</v>
      </c>
      <c r="K42" s="26" t="s">
        <v>186</v>
      </c>
      <c r="L42" s="26" t="s">
        <v>187</v>
      </c>
      <c r="M42" s="26" t="s">
        <v>173</v>
      </c>
      <c r="N42" s="26">
        <v>1</v>
      </c>
      <c r="O42" s="26">
        <v>100</v>
      </c>
      <c r="P42" s="27">
        <v>305000</v>
      </c>
      <c r="Q42" s="27" t="s">
        <v>183</v>
      </c>
      <c r="R42" s="28">
        <v>245000</v>
      </c>
      <c r="S42" s="29">
        <v>30500000</v>
      </c>
      <c r="T42" s="29">
        <f t="shared" si="2"/>
        <v>24500000</v>
      </c>
      <c r="U42" s="30">
        <v>0.02</v>
      </c>
      <c r="V42" s="26" t="s">
        <v>210</v>
      </c>
      <c r="W42" s="31">
        <v>7</v>
      </c>
      <c r="X42" s="28">
        <f t="shared" si="3"/>
        <v>14291666.666666666</v>
      </c>
      <c r="Y42" s="32">
        <f>VLOOKUP(Q42,'[3]DATA VALID'!M:O,3,FALSE)</f>
        <v>0.1</v>
      </c>
      <c r="Z42" s="33">
        <f>(R42-VLOOKUP(J42,'[3]DATA VALID'!G:K,5,FALSE))/R42-Y42*1.24</f>
        <v>0.36423428571428568</v>
      </c>
      <c r="AA42" s="33"/>
      <c r="AB42" s="33"/>
      <c r="AC42" s="33"/>
      <c r="AD42" s="33"/>
      <c r="AE42" s="34"/>
      <c r="AF42" s="34">
        <f>ROUNDUP(Table2[[#This Row],[ Số lượng trúng thầu ]]*Table2[[#This Row],[Số tháng phát sinh]]/12/Table2[[#This Row],[Số tháng phát sinh]],0)</f>
        <v>9</v>
      </c>
      <c r="AG42" s="34">
        <f>ROUNDUP(Table2[[#This Row],[ Số lượng trúng thầu ]]*Table2[[#This Row],[Số tháng phát sinh]]/12/Table2[[#This Row],[Số tháng phát sinh]],0)</f>
        <v>9</v>
      </c>
      <c r="AH42" s="34">
        <f>ROUNDUP(Table2[[#This Row],[ Số lượng trúng thầu ]]*Table2[[#This Row],[Số tháng phát sinh]]/12/Table2[[#This Row],[Số tháng phát sinh]],0)</f>
        <v>9</v>
      </c>
      <c r="AI42" s="34">
        <f>ROUNDUP(Table2[[#This Row],[ Số lượng trúng thầu ]]*Table2[[#This Row],[Số tháng phát sinh]]/12/Table2[[#This Row],[Số tháng phát sinh]],0)</f>
        <v>9</v>
      </c>
      <c r="AJ42" s="34">
        <f>ROUNDUP(Table2[[#This Row],[ Số lượng trúng thầu ]]*Table2[[#This Row],[Số tháng phát sinh]]/12/Table2[[#This Row],[Số tháng phát sinh]],0)</f>
        <v>9</v>
      </c>
      <c r="AK42" s="34">
        <f>ROUNDUP(Table2[[#This Row],[ Số lượng trúng thầu ]]*Table2[[#This Row],[Số tháng phát sinh]]/12/Table2[[#This Row],[Số tháng phát sinh]],0)</f>
        <v>9</v>
      </c>
      <c r="AL42" s="34">
        <f>ROUNDUP(Table2[[#This Row],[ Số lượng trúng thầu ]]*Table2[[#This Row],[Số tháng phát sinh]]/12/Table2[[#This Row],[Số tháng phát sinh]],0)</f>
        <v>9</v>
      </c>
      <c r="AM42" s="34">
        <f>ROUNDUP(Table2[[#This Row],[ Số lượng trúng thầu ]]*Table2[[#This Row],[Số tháng phát sinh]]/12/Table2[[#This Row],[Số tháng phát sinh]],0)</f>
        <v>9</v>
      </c>
      <c r="AN42" s="34">
        <f>ROUNDUP(Table2[[#This Row],[ Số lượng trúng thầu ]]*Table2[[#This Row],[Số tháng phát sinh]]/12/Table2[[#This Row],[Số tháng phát sinh]],0)</f>
        <v>9</v>
      </c>
    </row>
    <row r="43" spans="1:40" x14ac:dyDescent="0.35">
      <c r="A43" s="26">
        <v>9</v>
      </c>
      <c r="B43" s="26">
        <v>2025</v>
      </c>
      <c r="C43" s="26" t="s">
        <v>266</v>
      </c>
      <c r="D43" s="26" t="s">
        <v>189</v>
      </c>
      <c r="E43" s="26" t="s">
        <v>190</v>
      </c>
      <c r="F43" s="26" t="s">
        <v>267</v>
      </c>
      <c r="G43" s="26" t="s">
        <v>33</v>
      </c>
      <c r="H43" s="26" t="s">
        <v>176</v>
      </c>
      <c r="I43" s="26" t="s">
        <v>209</v>
      </c>
      <c r="J43" s="31" t="s">
        <v>6</v>
      </c>
      <c r="K43" s="26" t="s">
        <v>171</v>
      </c>
      <c r="L43" s="26" t="s">
        <v>178</v>
      </c>
      <c r="M43" s="26" t="s">
        <v>173</v>
      </c>
      <c r="N43" s="26">
        <v>1000</v>
      </c>
      <c r="O43" s="26">
        <v>550</v>
      </c>
      <c r="P43" s="27">
        <v>487000</v>
      </c>
      <c r="Q43" s="27" t="s">
        <v>183</v>
      </c>
      <c r="R43" s="28">
        <v>440000</v>
      </c>
      <c r="S43" s="29">
        <v>267850000</v>
      </c>
      <c r="T43" s="29">
        <f t="shared" si="2"/>
        <v>242000000</v>
      </c>
      <c r="U43" s="30">
        <v>0.04</v>
      </c>
      <c r="V43" s="26" t="s">
        <v>268</v>
      </c>
      <c r="W43" s="31">
        <v>6</v>
      </c>
      <c r="X43" s="28">
        <f t="shared" si="3"/>
        <v>121000000</v>
      </c>
      <c r="Y43" s="32">
        <f>VLOOKUP(Q43,'[3]DATA VALID'!M:O,3,FALSE)</f>
        <v>0.1</v>
      </c>
      <c r="Z43" s="33">
        <f>(R43-VLOOKUP(J43,'[3]DATA VALID'!G:K,5,FALSE))/R43-Y43*1.24</f>
        <v>0.40493249999999992</v>
      </c>
      <c r="AA43" s="33"/>
      <c r="AB43" s="33"/>
      <c r="AC43" s="33"/>
      <c r="AD43" s="33"/>
      <c r="AE43" s="34"/>
      <c r="AF43" s="34"/>
      <c r="AG43" s="34">
        <f>ROUNDUP(Table2[[#This Row],[ Số lượng trúng thầu ]]*Table2[[#This Row],[Số tháng phát sinh]]/12/Table2[[#This Row],[Số tháng phát sinh]],0)</f>
        <v>46</v>
      </c>
      <c r="AH43" s="34">
        <f>ROUNDUP(Table2[[#This Row],[ Số lượng trúng thầu ]]*Table2[[#This Row],[Số tháng phát sinh]]/12/Table2[[#This Row],[Số tháng phát sinh]],0)</f>
        <v>46</v>
      </c>
      <c r="AI43" s="34">
        <f>ROUNDUP(Table2[[#This Row],[ Số lượng trúng thầu ]]*Table2[[#This Row],[Số tháng phát sinh]]/12/Table2[[#This Row],[Số tháng phát sinh]],0)</f>
        <v>46</v>
      </c>
      <c r="AJ43" s="34">
        <f>ROUNDUP(Table2[[#This Row],[ Số lượng trúng thầu ]]*Table2[[#This Row],[Số tháng phát sinh]]/12/Table2[[#This Row],[Số tháng phát sinh]],0)</f>
        <v>46</v>
      </c>
      <c r="AK43" s="34">
        <f>ROUNDUP(Table2[[#This Row],[ Số lượng trúng thầu ]]*Table2[[#This Row],[Số tháng phát sinh]]/12/Table2[[#This Row],[Số tháng phát sinh]],0)</f>
        <v>46</v>
      </c>
      <c r="AL43" s="34">
        <f>ROUNDUP(Table2[[#This Row],[ Số lượng trúng thầu ]]*Table2[[#This Row],[Số tháng phát sinh]]/12/Table2[[#This Row],[Số tháng phát sinh]],0)</f>
        <v>46</v>
      </c>
      <c r="AM43" s="34">
        <f>ROUNDUP(Table2[[#This Row],[ Số lượng trúng thầu ]]*Table2[[#This Row],[Số tháng phát sinh]]/12/Table2[[#This Row],[Số tháng phát sinh]],0)</f>
        <v>46</v>
      </c>
      <c r="AN43" s="34">
        <f>ROUNDUP(Table2[[#This Row],[ Số lượng trúng thầu ]]*Table2[[#This Row],[Số tháng phát sinh]]/12/Table2[[#This Row],[Số tháng phát sinh]],0)</f>
        <v>46</v>
      </c>
    </row>
    <row r="44" spans="1:40" x14ac:dyDescent="0.35">
      <c r="A44" s="26">
        <v>9</v>
      </c>
      <c r="B44" s="26">
        <v>2025</v>
      </c>
      <c r="C44" s="26" t="s">
        <v>266</v>
      </c>
      <c r="D44" s="26" t="s">
        <v>189</v>
      </c>
      <c r="E44" s="26" t="s">
        <v>190</v>
      </c>
      <c r="F44" s="26" t="s">
        <v>267</v>
      </c>
      <c r="G44" s="26" t="s">
        <v>33</v>
      </c>
      <c r="H44" s="26" t="s">
        <v>220</v>
      </c>
      <c r="I44" s="26" t="s">
        <v>269</v>
      </c>
      <c r="J44" s="31" t="s">
        <v>6</v>
      </c>
      <c r="K44" s="26" t="s">
        <v>171</v>
      </c>
      <c r="L44" s="26" t="s">
        <v>178</v>
      </c>
      <c r="M44" s="26" t="s">
        <v>173</v>
      </c>
      <c r="N44" s="26">
        <v>1000</v>
      </c>
      <c r="O44" s="26">
        <v>550</v>
      </c>
      <c r="P44" s="27">
        <v>333000</v>
      </c>
      <c r="Q44" s="27" t="s">
        <v>183</v>
      </c>
      <c r="R44" s="28">
        <v>440000</v>
      </c>
      <c r="S44" s="29">
        <v>183150000</v>
      </c>
      <c r="T44" s="29">
        <f t="shared" si="2"/>
        <v>242000000</v>
      </c>
      <c r="U44" s="30">
        <v>0.03</v>
      </c>
      <c r="V44" s="26" t="s">
        <v>270</v>
      </c>
      <c r="W44" s="31">
        <v>6</v>
      </c>
      <c r="X44" s="28">
        <f t="shared" si="3"/>
        <v>121000000</v>
      </c>
      <c r="Y44" s="32">
        <f>VLOOKUP(Q44,'[3]DATA VALID'!M:O,3,FALSE)</f>
        <v>0.1</v>
      </c>
      <c r="Z44" s="33">
        <f>(R44-VLOOKUP(J44,'[3]DATA VALID'!G:K,5,FALSE))/R44-Y44*1.24</f>
        <v>0.40493249999999992</v>
      </c>
      <c r="AA44" s="33"/>
      <c r="AB44" s="33"/>
      <c r="AC44" s="33"/>
      <c r="AD44" s="33"/>
      <c r="AE44" s="34"/>
      <c r="AF44" s="34"/>
      <c r="AG44" s="34">
        <f>ROUNDUP(Table2[[#This Row],[ Số lượng trúng thầu ]]*Table2[[#This Row],[Số tháng phát sinh]]/12/Table2[[#This Row],[Số tháng phát sinh]],0)</f>
        <v>46</v>
      </c>
      <c r="AH44" s="34">
        <f>ROUNDUP(Table2[[#This Row],[ Số lượng trúng thầu ]]*Table2[[#This Row],[Số tháng phát sinh]]/12/Table2[[#This Row],[Số tháng phát sinh]],0)</f>
        <v>46</v>
      </c>
      <c r="AI44" s="34">
        <f>ROUNDUP(Table2[[#This Row],[ Số lượng trúng thầu ]]*Table2[[#This Row],[Số tháng phát sinh]]/12/Table2[[#This Row],[Số tháng phát sinh]],0)</f>
        <v>46</v>
      </c>
      <c r="AJ44" s="34">
        <f>ROUNDUP(Table2[[#This Row],[ Số lượng trúng thầu ]]*Table2[[#This Row],[Số tháng phát sinh]]/12/Table2[[#This Row],[Số tháng phát sinh]],0)</f>
        <v>46</v>
      </c>
      <c r="AK44" s="34">
        <f>ROUNDUP(Table2[[#This Row],[ Số lượng trúng thầu ]]*Table2[[#This Row],[Số tháng phát sinh]]/12/Table2[[#This Row],[Số tháng phát sinh]],0)</f>
        <v>46</v>
      </c>
      <c r="AL44" s="34">
        <f>ROUNDUP(Table2[[#This Row],[ Số lượng trúng thầu ]]*Table2[[#This Row],[Số tháng phát sinh]]/12/Table2[[#This Row],[Số tháng phát sinh]],0)</f>
        <v>46</v>
      </c>
      <c r="AM44" s="34">
        <f>ROUNDUP(Table2[[#This Row],[ Số lượng trúng thầu ]]*Table2[[#This Row],[Số tháng phát sinh]]/12/Table2[[#This Row],[Số tháng phát sinh]],0)</f>
        <v>46</v>
      </c>
      <c r="AN44" s="34">
        <f>ROUNDUP(Table2[[#This Row],[ Số lượng trúng thầu ]]*Table2[[#This Row],[Số tháng phát sinh]]/12/Table2[[#This Row],[Số tháng phát sinh]],0)</f>
        <v>46</v>
      </c>
    </row>
    <row r="45" spans="1:40" x14ac:dyDescent="0.35">
      <c r="A45" s="26">
        <v>9</v>
      </c>
      <c r="B45" s="26">
        <v>2025</v>
      </c>
      <c r="C45" s="26" t="s">
        <v>266</v>
      </c>
      <c r="D45" s="26" t="s">
        <v>189</v>
      </c>
      <c r="E45" s="26" t="s">
        <v>190</v>
      </c>
      <c r="F45" s="26" t="s">
        <v>267</v>
      </c>
      <c r="G45" s="26" t="s">
        <v>33</v>
      </c>
      <c r="H45" s="26" t="s">
        <v>176</v>
      </c>
      <c r="I45" s="26" t="s">
        <v>204</v>
      </c>
      <c r="J45" s="26" t="s">
        <v>4</v>
      </c>
      <c r="K45" s="26" t="s">
        <v>171</v>
      </c>
      <c r="L45" s="26" t="s">
        <v>172</v>
      </c>
      <c r="M45" s="26" t="s">
        <v>173</v>
      </c>
      <c r="N45" s="26">
        <v>1000</v>
      </c>
      <c r="O45" s="27">
        <v>3150</v>
      </c>
      <c r="P45" s="27">
        <v>220000</v>
      </c>
      <c r="Q45" s="27" t="s">
        <v>183</v>
      </c>
      <c r="R45" s="28">
        <f>980000/5</f>
        <v>196000</v>
      </c>
      <c r="S45" s="29">
        <v>693000000</v>
      </c>
      <c r="T45" s="29">
        <f t="shared" si="2"/>
        <v>617400000</v>
      </c>
      <c r="U45" s="30">
        <v>0.1</v>
      </c>
      <c r="V45" s="26" t="s">
        <v>271</v>
      </c>
      <c r="W45" s="31">
        <v>6</v>
      </c>
      <c r="X45" s="28">
        <f t="shared" si="3"/>
        <v>308700000</v>
      </c>
      <c r="Y45" s="32">
        <f>VLOOKUP(Q45,'[3]DATA VALID'!M:O,3,FALSE)</f>
        <v>0.1</v>
      </c>
      <c r="Z45" s="33">
        <f>(R45*5-VLOOKUP(J45,'[3]DATA VALID'!G:K,5,FALSE))/(R45*5)-Y45*1.24</f>
        <v>0.37779489795918364</v>
      </c>
      <c r="AA45" s="33"/>
      <c r="AB45" s="33"/>
      <c r="AC45" s="33"/>
      <c r="AD45" s="33"/>
      <c r="AE45" s="34"/>
      <c r="AF45" s="34"/>
      <c r="AG45" s="34">
        <f>ROUNDUP(Table2[[#This Row],[ Số lượng trúng thầu ]]*Table2[[#This Row],[Số tháng phát sinh]]/12/Table2[[#This Row],[Số tháng phát sinh]],0)</f>
        <v>263</v>
      </c>
      <c r="AH45" s="34">
        <f>ROUNDUP(Table2[[#This Row],[ Số lượng trúng thầu ]]*Table2[[#This Row],[Số tháng phát sinh]]/12/Table2[[#This Row],[Số tháng phát sinh]],0)</f>
        <v>263</v>
      </c>
      <c r="AI45" s="34">
        <f>ROUNDUP(Table2[[#This Row],[ Số lượng trúng thầu ]]*Table2[[#This Row],[Số tháng phát sinh]]/12/Table2[[#This Row],[Số tháng phát sinh]],0)</f>
        <v>263</v>
      </c>
      <c r="AJ45" s="34">
        <f>ROUNDUP(Table2[[#This Row],[ Số lượng trúng thầu ]]*Table2[[#This Row],[Số tháng phát sinh]]/12/Table2[[#This Row],[Số tháng phát sinh]],0)</f>
        <v>263</v>
      </c>
      <c r="AK45" s="34">
        <f>ROUNDUP(Table2[[#This Row],[ Số lượng trúng thầu ]]*Table2[[#This Row],[Số tháng phát sinh]]/12/Table2[[#This Row],[Số tháng phát sinh]],0)</f>
        <v>263</v>
      </c>
      <c r="AL45" s="34">
        <f>ROUNDUP(Table2[[#This Row],[ Số lượng trúng thầu ]]*Table2[[#This Row],[Số tháng phát sinh]]/12/Table2[[#This Row],[Số tháng phát sinh]],0)</f>
        <v>263</v>
      </c>
      <c r="AM45" s="34">
        <f>ROUNDUP(Table2[[#This Row],[ Số lượng trúng thầu ]]*Table2[[#This Row],[Số tháng phát sinh]]/12/Table2[[#This Row],[Số tháng phát sinh]],0)</f>
        <v>263</v>
      </c>
      <c r="AN45" s="34">
        <f>ROUNDUP(Table2[[#This Row],[ Số lượng trúng thầu ]]*Table2[[#This Row],[Số tháng phát sinh]]/12/Table2[[#This Row],[Số tháng phát sinh]],0)</f>
        <v>263</v>
      </c>
    </row>
    <row r="46" spans="1:40" x14ac:dyDescent="0.35">
      <c r="A46" s="26">
        <v>9</v>
      </c>
      <c r="B46" s="26">
        <v>2025</v>
      </c>
      <c r="C46" s="26" t="s">
        <v>266</v>
      </c>
      <c r="D46" s="26" t="s">
        <v>189</v>
      </c>
      <c r="E46" s="26" t="s">
        <v>190</v>
      </c>
      <c r="F46" s="26" t="s">
        <v>267</v>
      </c>
      <c r="G46" s="26" t="s">
        <v>33</v>
      </c>
      <c r="H46" s="26" t="s">
        <v>220</v>
      </c>
      <c r="I46" s="26" t="s">
        <v>272</v>
      </c>
      <c r="J46" s="26" t="s">
        <v>4</v>
      </c>
      <c r="K46" s="26" t="s">
        <v>171</v>
      </c>
      <c r="L46" s="26" t="s">
        <v>172</v>
      </c>
      <c r="M46" s="26" t="s">
        <v>173</v>
      </c>
      <c r="N46" s="26">
        <v>1000</v>
      </c>
      <c r="O46" s="27">
        <v>3150</v>
      </c>
      <c r="P46" s="27">
        <v>218158</v>
      </c>
      <c r="Q46" s="27" t="s">
        <v>183</v>
      </c>
      <c r="R46" s="28">
        <f>980000/5</f>
        <v>196000</v>
      </c>
      <c r="S46" s="29">
        <v>687197700</v>
      </c>
      <c r="T46" s="29">
        <f t="shared" si="2"/>
        <v>617400000</v>
      </c>
      <c r="U46" s="30">
        <v>0.1</v>
      </c>
      <c r="V46" s="26" t="s">
        <v>273</v>
      </c>
      <c r="W46" s="31">
        <v>6</v>
      </c>
      <c r="X46" s="28">
        <f t="shared" si="3"/>
        <v>308700000</v>
      </c>
      <c r="Y46" s="32">
        <f>VLOOKUP(Q46,'[3]DATA VALID'!M:O,3,FALSE)</f>
        <v>0.1</v>
      </c>
      <c r="Z46" s="33">
        <f>(R46*5-VLOOKUP(J46,'[3]DATA VALID'!G:K,5,FALSE))/(R46*5)-Y46*1.24</f>
        <v>0.37779489795918364</v>
      </c>
      <c r="AA46" s="33"/>
      <c r="AB46" s="33"/>
      <c r="AC46" s="33"/>
      <c r="AD46" s="33"/>
      <c r="AE46" s="34"/>
      <c r="AF46" s="34"/>
      <c r="AG46" s="34">
        <f>ROUNDUP(Table2[[#This Row],[ Số lượng trúng thầu ]]*Table2[[#This Row],[Số tháng phát sinh]]/12/Table2[[#This Row],[Số tháng phát sinh]],0)</f>
        <v>263</v>
      </c>
      <c r="AH46" s="34">
        <f>ROUNDUP(Table2[[#This Row],[ Số lượng trúng thầu ]]*Table2[[#This Row],[Số tháng phát sinh]]/12/Table2[[#This Row],[Số tháng phát sinh]],0)</f>
        <v>263</v>
      </c>
      <c r="AI46" s="34">
        <f>ROUNDUP(Table2[[#This Row],[ Số lượng trúng thầu ]]*Table2[[#This Row],[Số tháng phát sinh]]/12/Table2[[#This Row],[Số tháng phát sinh]],0)</f>
        <v>263</v>
      </c>
      <c r="AJ46" s="34">
        <f>ROUNDUP(Table2[[#This Row],[ Số lượng trúng thầu ]]*Table2[[#This Row],[Số tháng phát sinh]]/12/Table2[[#This Row],[Số tháng phát sinh]],0)</f>
        <v>263</v>
      </c>
      <c r="AK46" s="34">
        <f>ROUNDUP(Table2[[#This Row],[ Số lượng trúng thầu ]]*Table2[[#This Row],[Số tháng phát sinh]]/12/Table2[[#This Row],[Số tháng phát sinh]],0)</f>
        <v>263</v>
      </c>
      <c r="AL46" s="34">
        <f>ROUNDUP(Table2[[#This Row],[ Số lượng trúng thầu ]]*Table2[[#This Row],[Số tháng phát sinh]]/12/Table2[[#This Row],[Số tháng phát sinh]],0)</f>
        <v>263</v>
      </c>
      <c r="AM46" s="34">
        <f>ROUNDUP(Table2[[#This Row],[ Số lượng trúng thầu ]]*Table2[[#This Row],[Số tháng phát sinh]]/12/Table2[[#This Row],[Số tháng phát sinh]],0)</f>
        <v>263</v>
      </c>
      <c r="AN46" s="34">
        <f>ROUNDUP(Table2[[#This Row],[ Số lượng trúng thầu ]]*Table2[[#This Row],[Số tháng phát sinh]]/12/Table2[[#This Row],[Số tháng phát sinh]],0)</f>
        <v>263</v>
      </c>
    </row>
    <row r="47" spans="1:40" x14ac:dyDescent="0.35">
      <c r="A47" s="26">
        <v>9</v>
      </c>
      <c r="B47" s="26">
        <v>2025</v>
      </c>
      <c r="C47" s="26" t="s">
        <v>266</v>
      </c>
      <c r="D47" s="26" t="s">
        <v>189</v>
      </c>
      <c r="E47" s="26" t="s">
        <v>190</v>
      </c>
      <c r="F47" s="26" t="s">
        <v>267</v>
      </c>
      <c r="G47" s="26" t="s">
        <v>33</v>
      </c>
      <c r="H47" s="26" t="s">
        <v>220</v>
      </c>
      <c r="I47" s="26" t="s">
        <v>274</v>
      </c>
      <c r="J47" s="31" t="s">
        <v>8</v>
      </c>
      <c r="K47" s="26" t="s">
        <v>186</v>
      </c>
      <c r="L47" s="26" t="s">
        <v>200</v>
      </c>
      <c r="M47" s="26" t="s">
        <v>173</v>
      </c>
      <c r="N47" s="26">
        <v>710</v>
      </c>
      <c r="O47" s="26">
        <v>800</v>
      </c>
      <c r="P47" s="27">
        <v>280000</v>
      </c>
      <c r="Q47" s="27" t="s">
        <v>183</v>
      </c>
      <c r="R47" s="28">
        <f>1450000/5</f>
        <v>290000</v>
      </c>
      <c r="S47" s="29">
        <v>224000000</v>
      </c>
      <c r="T47" s="29">
        <f t="shared" si="2"/>
        <v>232000000</v>
      </c>
      <c r="U47" s="30">
        <v>0.03</v>
      </c>
      <c r="V47" s="26" t="s">
        <v>275</v>
      </c>
      <c r="W47" s="31">
        <v>6</v>
      </c>
      <c r="X47" s="28">
        <f t="shared" si="3"/>
        <v>116000000</v>
      </c>
      <c r="Y47" s="32">
        <f>VLOOKUP(Q47,'[3]DATA VALID'!M:O,3,FALSE)</f>
        <v>0.1</v>
      </c>
      <c r="Z47" s="33">
        <f>(R47-VLOOKUP(J47,'[3]DATA VALID'!G:K,5,FALSE))/R47-Y47*1.24</f>
        <v>0.44364620689655165</v>
      </c>
      <c r="AA47" s="33"/>
      <c r="AB47" s="33"/>
      <c r="AC47" s="33"/>
      <c r="AD47" s="33"/>
      <c r="AE47" s="34"/>
      <c r="AF47" s="34"/>
      <c r="AG47" s="34">
        <f>ROUNDUP(Table2[[#This Row],[ Số lượng trúng thầu ]]*Table2[[#This Row],[Số tháng phát sinh]]/12/Table2[[#This Row],[Số tháng phát sinh]],0)</f>
        <v>67</v>
      </c>
      <c r="AH47" s="34">
        <f>ROUNDUP(Table2[[#This Row],[ Số lượng trúng thầu ]]*Table2[[#This Row],[Số tháng phát sinh]]/12/Table2[[#This Row],[Số tháng phát sinh]],0)</f>
        <v>67</v>
      </c>
      <c r="AI47" s="34">
        <f>ROUNDUP(Table2[[#This Row],[ Số lượng trúng thầu ]]*Table2[[#This Row],[Số tháng phát sinh]]/12/Table2[[#This Row],[Số tháng phát sinh]],0)</f>
        <v>67</v>
      </c>
      <c r="AJ47" s="34">
        <f>ROUNDUP(Table2[[#This Row],[ Số lượng trúng thầu ]]*Table2[[#This Row],[Số tháng phát sinh]]/12/Table2[[#This Row],[Số tháng phát sinh]],0)</f>
        <v>67</v>
      </c>
      <c r="AK47" s="34">
        <f>ROUNDUP(Table2[[#This Row],[ Số lượng trúng thầu ]]*Table2[[#This Row],[Số tháng phát sinh]]/12/Table2[[#This Row],[Số tháng phát sinh]],0)</f>
        <v>67</v>
      </c>
      <c r="AL47" s="34">
        <f>ROUNDUP(Table2[[#This Row],[ Số lượng trúng thầu ]]*Table2[[#This Row],[Số tháng phát sinh]]/12/Table2[[#This Row],[Số tháng phát sinh]],0)</f>
        <v>67</v>
      </c>
      <c r="AM47" s="34">
        <f>ROUNDUP(Table2[[#This Row],[ Số lượng trúng thầu ]]*Table2[[#This Row],[Số tháng phát sinh]]/12/Table2[[#This Row],[Số tháng phát sinh]],0)</f>
        <v>67</v>
      </c>
      <c r="AN47" s="34">
        <f>ROUNDUP(Table2[[#This Row],[ Số lượng trúng thầu ]]*Table2[[#This Row],[Số tháng phát sinh]]/12/Table2[[#This Row],[Số tháng phát sinh]],0)</f>
        <v>67</v>
      </c>
    </row>
    <row r="48" spans="1:40" x14ac:dyDescent="0.35">
      <c r="A48" s="26">
        <v>9</v>
      </c>
      <c r="B48" s="26">
        <v>2025</v>
      </c>
      <c r="C48" s="26" t="s">
        <v>266</v>
      </c>
      <c r="D48" s="26" t="s">
        <v>189</v>
      </c>
      <c r="E48" s="26" t="s">
        <v>190</v>
      </c>
      <c r="F48" s="26" t="s">
        <v>267</v>
      </c>
      <c r="G48" s="26" t="s">
        <v>33</v>
      </c>
      <c r="H48" s="26" t="s">
        <v>176</v>
      </c>
      <c r="I48" s="26" t="s">
        <v>213</v>
      </c>
      <c r="J48" s="31" t="s">
        <v>10</v>
      </c>
      <c r="K48" s="26" t="s">
        <v>186</v>
      </c>
      <c r="L48" s="26" t="s">
        <v>200</v>
      </c>
      <c r="M48" s="26" t="s">
        <v>173</v>
      </c>
      <c r="N48" s="26">
        <v>750</v>
      </c>
      <c r="O48" s="26">
        <v>800</v>
      </c>
      <c r="P48" s="27">
        <v>420000</v>
      </c>
      <c r="Q48" s="27" t="s">
        <v>183</v>
      </c>
      <c r="R48" s="28">
        <v>360000</v>
      </c>
      <c r="S48" s="29">
        <v>336000000</v>
      </c>
      <c r="T48" s="29">
        <f t="shared" si="2"/>
        <v>288000000</v>
      </c>
      <c r="U48" s="30">
        <v>0.05</v>
      </c>
      <c r="V48" s="26" t="s">
        <v>276</v>
      </c>
      <c r="W48" s="31">
        <v>6</v>
      </c>
      <c r="X48" s="28">
        <f t="shared" si="3"/>
        <v>144000000</v>
      </c>
      <c r="Y48" s="32">
        <f>VLOOKUP(Q48,'[3]DATA VALID'!M:O,3,FALSE)</f>
        <v>0.1</v>
      </c>
      <c r="Z48" s="33">
        <f>(R48-VLOOKUP(J48,'[3]DATA VALID'!G:K,5,FALSE))/R48-Y48*1.24</f>
        <v>0.56480833333333336</v>
      </c>
      <c r="AA48" s="33"/>
      <c r="AB48" s="33"/>
      <c r="AC48" s="33"/>
      <c r="AD48" s="33"/>
      <c r="AE48" s="34"/>
      <c r="AF48" s="34"/>
      <c r="AG48" s="34">
        <f>ROUNDUP(Table2[[#This Row],[ Số lượng trúng thầu ]]*Table2[[#This Row],[Số tháng phát sinh]]/12/Table2[[#This Row],[Số tháng phát sinh]],0)</f>
        <v>67</v>
      </c>
      <c r="AH48" s="34">
        <f>ROUNDUP(Table2[[#This Row],[ Số lượng trúng thầu ]]*Table2[[#This Row],[Số tháng phát sinh]]/12/Table2[[#This Row],[Số tháng phát sinh]],0)</f>
        <v>67</v>
      </c>
      <c r="AI48" s="34">
        <f>ROUNDUP(Table2[[#This Row],[ Số lượng trúng thầu ]]*Table2[[#This Row],[Số tháng phát sinh]]/12/Table2[[#This Row],[Số tháng phát sinh]],0)</f>
        <v>67</v>
      </c>
      <c r="AJ48" s="34">
        <f>ROUNDUP(Table2[[#This Row],[ Số lượng trúng thầu ]]*Table2[[#This Row],[Số tháng phát sinh]]/12/Table2[[#This Row],[Số tháng phát sinh]],0)</f>
        <v>67</v>
      </c>
      <c r="AK48" s="34">
        <f>ROUNDUP(Table2[[#This Row],[ Số lượng trúng thầu ]]*Table2[[#This Row],[Số tháng phát sinh]]/12/Table2[[#This Row],[Số tháng phát sinh]],0)</f>
        <v>67</v>
      </c>
      <c r="AL48" s="34">
        <f>ROUNDUP(Table2[[#This Row],[ Số lượng trúng thầu ]]*Table2[[#This Row],[Số tháng phát sinh]]/12/Table2[[#This Row],[Số tháng phát sinh]],0)</f>
        <v>67</v>
      </c>
      <c r="AM48" s="34">
        <f>ROUNDUP(Table2[[#This Row],[ Số lượng trúng thầu ]]*Table2[[#This Row],[Số tháng phát sinh]]/12/Table2[[#This Row],[Số tháng phát sinh]],0)</f>
        <v>67</v>
      </c>
      <c r="AN48" s="34">
        <f>ROUNDUP(Table2[[#This Row],[ Số lượng trúng thầu ]]*Table2[[#This Row],[Số tháng phát sinh]]/12/Table2[[#This Row],[Số tháng phát sinh]],0)</f>
        <v>67</v>
      </c>
    </row>
    <row r="49" spans="1:40" x14ac:dyDescent="0.35">
      <c r="A49" s="26">
        <v>9</v>
      </c>
      <c r="B49" s="26">
        <v>2025</v>
      </c>
      <c r="C49" s="26" t="s">
        <v>266</v>
      </c>
      <c r="D49" s="26" t="s">
        <v>189</v>
      </c>
      <c r="E49" s="26" t="s">
        <v>190</v>
      </c>
      <c r="F49" s="26" t="s">
        <v>267</v>
      </c>
      <c r="G49" s="26" t="s">
        <v>33</v>
      </c>
      <c r="H49" s="26" t="s">
        <v>277</v>
      </c>
      <c r="I49" s="26" t="s">
        <v>278</v>
      </c>
      <c r="J49" s="31" t="s">
        <v>6</v>
      </c>
      <c r="K49" s="26" t="s">
        <v>171</v>
      </c>
      <c r="L49" s="26" t="s">
        <v>178</v>
      </c>
      <c r="M49" s="26" t="s">
        <v>173</v>
      </c>
      <c r="N49" s="26">
        <v>1000</v>
      </c>
      <c r="O49" s="26">
        <v>120</v>
      </c>
      <c r="P49" s="27">
        <v>1411100</v>
      </c>
      <c r="Q49" s="27" t="s">
        <v>183</v>
      </c>
      <c r="R49" s="28">
        <v>440000</v>
      </c>
      <c r="S49" s="29">
        <v>169332000</v>
      </c>
      <c r="T49" s="29">
        <f t="shared" si="2"/>
        <v>52800000</v>
      </c>
      <c r="U49" s="30">
        <v>0.03</v>
      </c>
      <c r="V49" s="26" t="s">
        <v>279</v>
      </c>
      <c r="W49" s="31">
        <v>6</v>
      </c>
      <c r="X49" s="28">
        <f t="shared" si="3"/>
        <v>26400000</v>
      </c>
      <c r="Y49" s="32">
        <f>VLOOKUP(Q49,'[3]DATA VALID'!M:O,3,FALSE)</f>
        <v>0.1</v>
      </c>
      <c r="Z49" s="33">
        <f>(R49-VLOOKUP(J49,'[3]DATA VALID'!G:K,5,FALSE))/R49-Y49*1.24</f>
        <v>0.40493249999999992</v>
      </c>
      <c r="AA49" s="33"/>
      <c r="AB49" s="33"/>
      <c r="AC49" s="33"/>
      <c r="AD49" s="33"/>
      <c r="AE49" s="34"/>
      <c r="AF49" s="34"/>
      <c r="AG49" s="34">
        <f>ROUNDUP(Table2[[#This Row],[ Số lượng trúng thầu ]]*Table2[[#This Row],[Số tháng phát sinh]]/12/Table2[[#This Row],[Số tháng phát sinh]],0)</f>
        <v>10</v>
      </c>
      <c r="AH49" s="34">
        <f>ROUNDUP(Table2[[#This Row],[ Số lượng trúng thầu ]]*Table2[[#This Row],[Số tháng phát sinh]]/12/Table2[[#This Row],[Số tháng phát sinh]],0)</f>
        <v>10</v>
      </c>
      <c r="AI49" s="34">
        <f>ROUNDUP(Table2[[#This Row],[ Số lượng trúng thầu ]]*Table2[[#This Row],[Số tháng phát sinh]]/12/Table2[[#This Row],[Số tháng phát sinh]],0)</f>
        <v>10</v>
      </c>
      <c r="AJ49" s="34">
        <f>ROUNDUP(Table2[[#This Row],[ Số lượng trúng thầu ]]*Table2[[#This Row],[Số tháng phát sinh]]/12/Table2[[#This Row],[Số tháng phát sinh]],0)</f>
        <v>10</v>
      </c>
      <c r="AK49" s="34">
        <f>ROUNDUP(Table2[[#This Row],[ Số lượng trúng thầu ]]*Table2[[#This Row],[Số tháng phát sinh]]/12/Table2[[#This Row],[Số tháng phát sinh]],0)</f>
        <v>10</v>
      </c>
      <c r="AL49" s="34">
        <f>ROUNDUP(Table2[[#This Row],[ Số lượng trúng thầu ]]*Table2[[#This Row],[Số tháng phát sinh]]/12/Table2[[#This Row],[Số tháng phát sinh]],0)</f>
        <v>10</v>
      </c>
      <c r="AM49" s="34">
        <f>ROUNDUP(Table2[[#This Row],[ Số lượng trúng thầu ]]*Table2[[#This Row],[Số tháng phát sinh]]/12/Table2[[#This Row],[Số tháng phát sinh]],0)</f>
        <v>10</v>
      </c>
      <c r="AN49" s="34">
        <f>ROUNDUP(Table2[[#This Row],[ Số lượng trúng thầu ]]*Table2[[#This Row],[Số tháng phát sinh]]/12/Table2[[#This Row],[Số tháng phát sinh]],0)</f>
        <v>10</v>
      </c>
    </row>
    <row r="50" spans="1:40" x14ac:dyDescent="0.35">
      <c r="A50" s="26">
        <v>9</v>
      </c>
      <c r="B50" s="26">
        <v>2025</v>
      </c>
      <c r="C50" s="26" t="s">
        <v>266</v>
      </c>
      <c r="D50" s="26" t="s">
        <v>189</v>
      </c>
      <c r="E50" s="26" t="s">
        <v>194</v>
      </c>
      <c r="F50" s="26" t="s">
        <v>280</v>
      </c>
      <c r="G50" s="26" t="s">
        <v>35</v>
      </c>
      <c r="H50" s="26" t="s">
        <v>192</v>
      </c>
      <c r="I50" s="26" t="s">
        <v>281</v>
      </c>
      <c r="J50" s="26" t="s">
        <v>4</v>
      </c>
      <c r="K50" s="26" t="s">
        <v>171</v>
      </c>
      <c r="L50" s="26" t="s">
        <v>172</v>
      </c>
      <c r="M50" s="26" t="s">
        <v>173</v>
      </c>
      <c r="N50" s="26">
        <v>3780</v>
      </c>
      <c r="O50" s="26">
        <v>200</v>
      </c>
      <c r="P50" s="27">
        <v>916000</v>
      </c>
      <c r="Q50" s="27" t="s">
        <v>183</v>
      </c>
      <c r="R50" s="28">
        <v>980000</v>
      </c>
      <c r="S50" s="29">
        <v>183200000</v>
      </c>
      <c r="T50" s="29">
        <f t="shared" si="2"/>
        <v>196000000</v>
      </c>
      <c r="U50" s="30">
        <v>0.09</v>
      </c>
      <c r="V50" s="26" t="s">
        <v>282</v>
      </c>
      <c r="W50" s="31">
        <v>6</v>
      </c>
      <c r="X50" s="28">
        <f t="shared" si="3"/>
        <v>98000000</v>
      </c>
      <c r="Y50" s="32">
        <f>VLOOKUP(Q50,'[3]DATA VALID'!M:O,3,FALSE)</f>
        <v>0.1</v>
      </c>
      <c r="Z50" s="33">
        <f>(R50-VLOOKUP(J50,'[3]DATA VALID'!G:K,5,FALSE))/R50-Y50*1.24</f>
        <v>0.37779489795918364</v>
      </c>
      <c r="AA50" s="33"/>
      <c r="AB50" s="33"/>
      <c r="AC50" s="33"/>
      <c r="AD50" s="33"/>
      <c r="AE50" s="34"/>
      <c r="AF50" s="34"/>
      <c r="AG50" s="34">
        <f>ROUNDUP(Table2[[#This Row],[ Số lượng trúng thầu ]]*Table2[[#This Row],[Số tháng phát sinh]]/12/Table2[[#This Row],[Số tháng phát sinh]],0)</f>
        <v>17</v>
      </c>
      <c r="AH50" s="34">
        <f>ROUNDUP(Table2[[#This Row],[ Số lượng trúng thầu ]]*Table2[[#This Row],[Số tháng phát sinh]]/12/Table2[[#This Row],[Số tháng phát sinh]],0)</f>
        <v>17</v>
      </c>
      <c r="AI50" s="34">
        <f>ROUNDUP(Table2[[#This Row],[ Số lượng trúng thầu ]]*Table2[[#This Row],[Số tháng phát sinh]]/12/Table2[[#This Row],[Số tháng phát sinh]],0)</f>
        <v>17</v>
      </c>
      <c r="AJ50" s="34">
        <f>ROUNDUP(Table2[[#This Row],[ Số lượng trúng thầu ]]*Table2[[#This Row],[Số tháng phát sinh]]/12/Table2[[#This Row],[Số tháng phát sinh]],0)</f>
        <v>17</v>
      </c>
      <c r="AK50" s="34">
        <f>ROUNDUP(Table2[[#This Row],[ Số lượng trúng thầu ]]*Table2[[#This Row],[Số tháng phát sinh]]/12/Table2[[#This Row],[Số tháng phát sinh]],0)</f>
        <v>17</v>
      </c>
      <c r="AL50" s="34">
        <f>ROUNDUP(Table2[[#This Row],[ Số lượng trúng thầu ]]*Table2[[#This Row],[Số tháng phát sinh]]/12/Table2[[#This Row],[Số tháng phát sinh]],0)</f>
        <v>17</v>
      </c>
      <c r="AM50" s="34">
        <f>ROUNDUP(Table2[[#This Row],[ Số lượng trúng thầu ]]*Table2[[#This Row],[Số tháng phát sinh]]/12/Table2[[#This Row],[Số tháng phát sinh]],0)</f>
        <v>17</v>
      </c>
      <c r="AN50" s="34">
        <f>ROUNDUP(Table2[[#This Row],[ Số lượng trúng thầu ]]*Table2[[#This Row],[Số tháng phát sinh]]/12/Table2[[#This Row],[Số tháng phát sinh]],0)</f>
        <v>17</v>
      </c>
    </row>
    <row r="51" spans="1:40" x14ac:dyDescent="0.35">
      <c r="A51" s="26">
        <v>9</v>
      </c>
      <c r="B51" s="26">
        <v>2025</v>
      </c>
      <c r="C51" s="26" t="s">
        <v>266</v>
      </c>
      <c r="D51" s="26" t="s">
        <v>189</v>
      </c>
      <c r="E51" s="26" t="s">
        <v>194</v>
      </c>
      <c r="F51" s="26" t="s">
        <v>280</v>
      </c>
      <c r="G51" s="26" t="s">
        <v>35</v>
      </c>
      <c r="H51" s="26" t="s">
        <v>216</v>
      </c>
      <c r="I51" s="26" t="s">
        <v>193</v>
      </c>
      <c r="J51" s="31" t="s">
        <v>6</v>
      </c>
      <c r="K51" s="26" t="s">
        <v>171</v>
      </c>
      <c r="L51" s="26" t="s">
        <v>178</v>
      </c>
      <c r="M51" s="26" t="s">
        <v>173</v>
      </c>
      <c r="N51" s="26">
        <v>1000</v>
      </c>
      <c r="O51" s="26">
        <v>605</v>
      </c>
      <c r="P51" s="27">
        <v>568008</v>
      </c>
      <c r="Q51" s="27" t="s">
        <v>183</v>
      </c>
      <c r="R51" s="28">
        <v>440000</v>
      </c>
      <c r="S51" s="29">
        <v>343644840</v>
      </c>
      <c r="T51" s="29">
        <f t="shared" si="2"/>
        <v>266200000</v>
      </c>
      <c r="U51" s="30">
        <v>0.16</v>
      </c>
      <c r="V51" s="26" t="s">
        <v>283</v>
      </c>
      <c r="W51" s="31">
        <v>6</v>
      </c>
      <c r="X51" s="28">
        <f t="shared" si="3"/>
        <v>133100000</v>
      </c>
      <c r="Y51" s="32">
        <f>VLOOKUP(Q51,'[3]DATA VALID'!M:O,3,FALSE)</f>
        <v>0.1</v>
      </c>
      <c r="Z51" s="33">
        <f>(R51-VLOOKUP(J51,'[3]DATA VALID'!G:K,5,FALSE))/R51-Y51*1.24</f>
        <v>0.40493249999999992</v>
      </c>
      <c r="AA51" s="33"/>
      <c r="AB51" s="33"/>
      <c r="AC51" s="33"/>
      <c r="AD51" s="33"/>
      <c r="AE51" s="34"/>
      <c r="AF51" s="34"/>
      <c r="AG51" s="34">
        <f>ROUNDUP(Table2[[#This Row],[ Số lượng trúng thầu ]]*Table2[[#This Row],[Số tháng phát sinh]]/12/Table2[[#This Row],[Số tháng phát sinh]],0)</f>
        <v>51</v>
      </c>
      <c r="AH51" s="34">
        <f>ROUNDUP(Table2[[#This Row],[ Số lượng trúng thầu ]]*Table2[[#This Row],[Số tháng phát sinh]]/12/Table2[[#This Row],[Số tháng phát sinh]],0)</f>
        <v>51</v>
      </c>
      <c r="AI51" s="34">
        <f>ROUNDUP(Table2[[#This Row],[ Số lượng trúng thầu ]]*Table2[[#This Row],[Số tháng phát sinh]]/12/Table2[[#This Row],[Số tháng phát sinh]],0)</f>
        <v>51</v>
      </c>
      <c r="AJ51" s="34">
        <f>ROUNDUP(Table2[[#This Row],[ Số lượng trúng thầu ]]*Table2[[#This Row],[Số tháng phát sinh]]/12/Table2[[#This Row],[Số tháng phát sinh]],0)</f>
        <v>51</v>
      </c>
      <c r="AK51" s="34">
        <f>ROUNDUP(Table2[[#This Row],[ Số lượng trúng thầu ]]*Table2[[#This Row],[Số tháng phát sinh]]/12/Table2[[#This Row],[Số tháng phát sinh]],0)</f>
        <v>51</v>
      </c>
      <c r="AL51" s="34">
        <f>ROUNDUP(Table2[[#This Row],[ Số lượng trúng thầu ]]*Table2[[#This Row],[Số tháng phát sinh]]/12/Table2[[#This Row],[Số tháng phát sinh]],0)</f>
        <v>51</v>
      </c>
      <c r="AM51" s="34">
        <f>ROUNDUP(Table2[[#This Row],[ Số lượng trúng thầu ]]*Table2[[#This Row],[Số tháng phát sinh]]/12/Table2[[#This Row],[Số tháng phát sinh]],0)</f>
        <v>51</v>
      </c>
      <c r="AN51" s="34">
        <f>ROUNDUP(Table2[[#This Row],[ Số lượng trúng thầu ]]*Table2[[#This Row],[Số tháng phát sinh]]/12/Table2[[#This Row],[Số tháng phát sinh]],0)</f>
        <v>51</v>
      </c>
    </row>
    <row r="52" spans="1:40" x14ac:dyDescent="0.35">
      <c r="A52" s="26">
        <v>9</v>
      </c>
      <c r="B52" s="26">
        <v>2025</v>
      </c>
      <c r="C52" s="26" t="s">
        <v>266</v>
      </c>
      <c r="D52" s="26" t="s">
        <v>189</v>
      </c>
      <c r="E52" s="26" t="s">
        <v>194</v>
      </c>
      <c r="F52" s="26" t="s">
        <v>280</v>
      </c>
      <c r="G52" s="26" t="s">
        <v>35</v>
      </c>
      <c r="H52" s="26" t="s">
        <v>176</v>
      </c>
      <c r="I52" s="26" t="s">
        <v>213</v>
      </c>
      <c r="J52" s="31" t="s">
        <v>10</v>
      </c>
      <c r="K52" s="26" t="s">
        <v>186</v>
      </c>
      <c r="L52" s="26" t="s">
        <v>200</v>
      </c>
      <c r="M52" s="26" t="s">
        <v>173</v>
      </c>
      <c r="N52" s="26">
        <v>1000</v>
      </c>
      <c r="O52" s="26">
        <v>795</v>
      </c>
      <c r="P52" s="27">
        <v>395500</v>
      </c>
      <c r="Q52" s="27" t="s">
        <v>183</v>
      </c>
      <c r="R52" s="28">
        <v>360000</v>
      </c>
      <c r="S52" s="29">
        <v>314422500</v>
      </c>
      <c r="T52" s="29">
        <f t="shared" si="2"/>
        <v>286200000</v>
      </c>
      <c r="U52" s="30">
        <v>0.15</v>
      </c>
      <c r="V52" s="26" t="s">
        <v>284</v>
      </c>
      <c r="W52" s="31">
        <v>6</v>
      </c>
      <c r="X52" s="28">
        <f t="shared" si="3"/>
        <v>143100000</v>
      </c>
      <c r="Y52" s="32">
        <f>VLOOKUP(Q52,'[3]DATA VALID'!M:O,3,FALSE)</f>
        <v>0.1</v>
      </c>
      <c r="Z52" s="33">
        <f>(R52-VLOOKUP(J52,'[3]DATA VALID'!G:K,5,FALSE))/R52-Y52*1.24</f>
        <v>0.56480833333333336</v>
      </c>
      <c r="AA52" s="33"/>
      <c r="AB52" s="33"/>
      <c r="AC52" s="33"/>
      <c r="AD52" s="33"/>
      <c r="AE52" s="34"/>
      <c r="AF52" s="34"/>
      <c r="AG52" s="34">
        <f>ROUNDUP(Table2[[#This Row],[ Số lượng trúng thầu ]]*Table2[[#This Row],[Số tháng phát sinh]]/12/Table2[[#This Row],[Số tháng phát sinh]],0)</f>
        <v>67</v>
      </c>
      <c r="AH52" s="34">
        <f>ROUNDUP(Table2[[#This Row],[ Số lượng trúng thầu ]]*Table2[[#This Row],[Số tháng phát sinh]]/12/Table2[[#This Row],[Số tháng phát sinh]],0)</f>
        <v>67</v>
      </c>
      <c r="AI52" s="34">
        <f>ROUNDUP(Table2[[#This Row],[ Số lượng trúng thầu ]]*Table2[[#This Row],[Số tháng phát sinh]]/12/Table2[[#This Row],[Số tháng phát sinh]],0)</f>
        <v>67</v>
      </c>
      <c r="AJ52" s="34">
        <f>ROUNDUP(Table2[[#This Row],[ Số lượng trúng thầu ]]*Table2[[#This Row],[Số tháng phát sinh]]/12/Table2[[#This Row],[Số tháng phát sinh]],0)</f>
        <v>67</v>
      </c>
      <c r="AK52" s="34">
        <f>ROUNDUP(Table2[[#This Row],[ Số lượng trúng thầu ]]*Table2[[#This Row],[Số tháng phát sinh]]/12/Table2[[#This Row],[Số tháng phát sinh]],0)</f>
        <v>67</v>
      </c>
      <c r="AL52" s="34">
        <f>ROUNDUP(Table2[[#This Row],[ Số lượng trúng thầu ]]*Table2[[#This Row],[Số tháng phát sinh]]/12/Table2[[#This Row],[Số tháng phát sinh]],0)</f>
        <v>67</v>
      </c>
      <c r="AM52" s="34">
        <f>ROUNDUP(Table2[[#This Row],[ Số lượng trúng thầu ]]*Table2[[#This Row],[Số tháng phát sinh]]/12/Table2[[#This Row],[Số tháng phát sinh]],0)</f>
        <v>67</v>
      </c>
      <c r="AN52" s="34">
        <f>ROUNDUP(Table2[[#This Row],[ Số lượng trúng thầu ]]*Table2[[#This Row],[Số tháng phát sinh]]/12/Table2[[#This Row],[Số tháng phát sinh]],0)</f>
        <v>67</v>
      </c>
    </row>
    <row r="53" spans="1:40" x14ac:dyDescent="0.35">
      <c r="A53" s="26">
        <v>9</v>
      </c>
      <c r="B53" s="26">
        <v>2025</v>
      </c>
      <c r="C53" s="26" t="s">
        <v>165</v>
      </c>
      <c r="D53" s="26" t="s">
        <v>166</v>
      </c>
      <c r="E53" s="26" t="s">
        <v>211</v>
      </c>
      <c r="F53" s="26" t="s">
        <v>285</v>
      </c>
      <c r="G53" s="26" t="s">
        <v>56</v>
      </c>
      <c r="H53" s="26" t="s">
        <v>176</v>
      </c>
      <c r="I53" s="26" t="s">
        <v>177</v>
      </c>
      <c r="J53" s="31" t="s">
        <v>9</v>
      </c>
      <c r="K53" s="26" t="s">
        <v>171</v>
      </c>
      <c r="L53" s="26" t="s">
        <v>178</v>
      </c>
      <c r="M53" s="26" t="s">
        <v>173</v>
      </c>
      <c r="N53" s="26">
        <v>5000</v>
      </c>
      <c r="O53" s="26">
        <v>75</v>
      </c>
      <c r="P53" s="27">
        <v>1748240</v>
      </c>
      <c r="Q53" s="27" t="s">
        <v>183</v>
      </c>
      <c r="R53" s="28">
        <v>1450000</v>
      </c>
      <c r="S53" s="29">
        <v>131118000</v>
      </c>
      <c r="T53" s="29">
        <f t="shared" si="2"/>
        <v>108750000</v>
      </c>
      <c r="U53" s="30">
        <v>0.74</v>
      </c>
      <c r="V53" s="26" t="s">
        <v>210</v>
      </c>
      <c r="W53" s="31">
        <v>6</v>
      </c>
      <c r="X53" s="28">
        <f t="shared" si="3"/>
        <v>54375000</v>
      </c>
      <c r="Y53" s="32">
        <f>VLOOKUP(Q53,'[3]DATA VALID'!M:O,3,FALSE)</f>
        <v>0.1</v>
      </c>
      <c r="Z53" s="33">
        <f>(R53-VLOOKUP(J53,'[3]DATA VALID'!G:K,5,FALSE))/R53-Y53*1.24</f>
        <v>0.45095172413793105</v>
      </c>
      <c r="AA53" s="33"/>
      <c r="AB53" s="33"/>
      <c r="AC53" s="33"/>
      <c r="AD53" s="33"/>
      <c r="AE53" s="34"/>
      <c r="AF53" s="34"/>
      <c r="AG53" s="34">
        <f>ROUNDUP(Table2[[#This Row],[ Số lượng trúng thầu ]]*Table2[[#This Row],[Số tháng phát sinh]]/12/Table2[[#This Row],[Số tháng phát sinh]],0)</f>
        <v>7</v>
      </c>
      <c r="AH53" s="34">
        <f>ROUNDUP(Table2[[#This Row],[ Số lượng trúng thầu ]]*Table2[[#This Row],[Số tháng phát sinh]]/12/Table2[[#This Row],[Số tháng phát sinh]],0)</f>
        <v>7</v>
      </c>
      <c r="AI53" s="34">
        <f>ROUNDUP(Table2[[#This Row],[ Số lượng trúng thầu ]]*Table2[[#This Row],[Số tháng phát sinh]]/12/Table2[[#This Row],[Số tháng phát sinh]],0)</f>
        <v>7</v>
      </c>
      <c r="AJ53" s="34">
        <f>ROUNDUP(Table2[[#This Row],[ Số lượng trúng thầu ]]*Table2[[#This Row],[Số tháng phát sinh]]/12/Table2[[#This Row],[Số tháng phát sinh]],0)</f>
        <v>7</v>
      </c>
      <c r="AK53" s="34">
        <f>ROUNDUP(Table2[[#This Row],[ Số lượng trúng thầu ]]*Table2[[#This Row],[Số tháng phát sinh]]/12/Table2[[#This Row],[Số tháng phát sinh]],0)</f>
        <v>7</v>
      </c>
      <c r="AL53" s="34">
        <f>ROUNDUP(Table2[[#This Row],[ Số lượng trúng thầu ]]*Table2[[#This Row],[Số tháng phát sinh]]/12/Table2[[#This Row],[Số tháng phát sinh]],0)</f>
        <v>7</v>
      </c>
      <c r="AM53" s="34">
        <f>ROUNDUP(Table2[[#This Row],[ Số lượng trúng thầu ]]*Table2[[#This Row],[Số tháng phát sinh]]/12/Table2[[#This Row],[Số tháng phát sinh]],0)</f>
        <v>7</v>
      </c>
      <c r="AN53" s="34">
        <f>ROUNDUP(Table2[[#This Row],[ Số lượng trúng thầu ]]*Table2[[#This Row],[Số tháng phát sinh]]/12/Table2[[#This Row],[Số tháng phát sinh]],0)</f>
        <v>7</v>
      </c>
    </row>
    <row r="54" spans="1:40" x14ac:dyDescent="0.35">
      <c r="A54" s="26">
        <v>7</v>
      </c>
      <c r="B54" s="26">
        <v>2025</v>
      </c>
      <c r="C54" s="26" t="s">
        <v>165</v>
      </c>
      <c r="D54" s="26" t="s">
        <v>189</v>
      </c>
      <c r="E54" s="26" t="s">
        <v>208</v>
      </c>
      <c r="F54" s="26" t="s">
        <v>286</v>
      </c>
      <c r="G54" s="26" t="s">
        <v>287</v>
      </c>
      <c r="H54" s="26" t="s">
        <v>176</v>
      </c>
      <c r="I54" s="26" t="s">
        <v>185</v>
      </c>
      <c r="J54" s="26" t="str">
        <f>VLOOKUP(I54,'[3]DATA VALID'!A:B,2,FALSE)</f>
        <v>Exeol wipe optimal</v>
      </c>
      <c r="K54" s="26" t="s">
        <v>186</v>
      </c>
      <c r="L54" s="26" t="s">
        <v>187</v>
      </c>
      <c r="M54" s="26" t="s">
        <v>173</v>
      </c>
      <c r="N54" s="26">
        <v>100</v>
      </c>
      <c r="O54" s="27">
        <v>1100</v>
      </c>
      <c r="P54" s="27">
        <v>310000</v>
      </c>
      <c r="Q54" s="27" t="s">
        <v>183</v>
      </c>
      <c r="R54" s="28">
        <v>245000</v>
      </c>
      <c r="S54" s="29">
        <v>341000000</v>
      </c>
      <c r="T54" s="29">
        <f t="shared" si="2"/>
        <v>269500000</v>
      </c>
      <c r="U54" s="30">
        <v>1</v>
      </c>
      <c r="V54" s="26" t="s">
        <v>210</v>
      </c>
      <c r="W54" s="31">
        <v>8</v>
      </c>
      <c r="X54" s="28">
        <f t="shared" si="3"/>
        <v>179666666.66666666</v>
      </c>
      <c r="Y54" s="32">
        <f>VLOOKUP(Q54,'[3]DATA VALID'!M:O,3,FALSE)</f>
        <v>0.1</v>
      </c>
      <c r="Z54" s="33">
        <f>(R54-VLOOKUP(J54,'[3]DATA VALID'!G:K,5,FALSE))/R54-Y54*1.24</f>
        <v>0.36423428571428568</v>
      </c>
      <c r="AA54" s="33"/>
      <c r="AB54" s="33"/>
      <c r="AC54" s="33"/>
      <c r="AD54" s="33"/>
      <c r="AE54" s="34">
        <f>ROUNDUP(Table2[[#This Row],[ Số lượng trúng thầu ]]*Table2[[#This Row],[Số tháng phát sinh]]/12/9,0)</f>
        <v>82</v>
      </c>
      <c r="AF54" s="34">
        <f>ROUNDUP(Table2[[#This Row],[ Số lượng trúng thầu ]]*Table2[[#This Row],[Số tháng phát sinh]]/12/9,0)</f>
        <v>82</v>
      </c>
      <c r="AG54" s="34">
        <f>ROUNDUP(Table2[[#This Row],[ Số lượng trúng thầu ]]*Table2[[#This Row],[Số tháng phát sinh]]/12/9,0)</f>
        <v>82</v>
      </c>
      <c r="AH54" s="34">
        <f>ROUNDUP(Table2[[#This Row],[ Số lượng trúng thầu ]]*Table2[[#This Row],[Số tháng phát sinh]]/12/9,0)</f>
        <v>82</v>
      </c>
      <c r="AI54" s="34">
        <f>ROUNDUP(Table2[[#This Row],[ Số lượng trúng thầu ]]*Table2[[#This Row],[Số tháng phát sinh]]/12/9,0)</f>
        <v>82</v>
      </c>
      <c r="AJ54" s="34">
        <f>ROUNDUP(Table2[[#This Row],[ Số lượng trúng thầu ]]*Table2[[#This Row],[Số tháng phát sinh]]/12/9,0)</f>
        <v>82</v>
      </c>
      <c r="AK54" s="34">
        <f>ROUNDUP(Table2[[#This Row],[ Số lượng trúng thầu ]]*Table2[[#This Row],[Số tháng phát sinh]]/12/9,0)</f>
        <v>82</v>
      </c>
      <c r="AL54" s="34">
        <f>ROUNDUP(Table2[[#This Row],[ Số lượng trúng thầu ]]*Table2[[#This Row],[Số tháng phát sinh]]/12/9,0)</f>
        <v>82</v>
      </c>
      <c r="AM54" s="34">
        <f>ROUNDUP(Table2[[#This Row],[ Số lượng trúng thầu ]]*Table2[[#This Row],[Số tháng phát sinh]]/12/9,0)</f>
        <v>82</v>
      </c>
      <c r="AN54" s="34">
        <f>ROUNDUP(Table2[[#This Row],[ Số lượng trúng thầu ]]*Table2[[#This Row],[Số tháng phát sinh]]/12/9,0)</f>
        <v>82</v>
      </c>
    </row>
    <row r="55" spans="1:40" x14ac:dyDescent="0.35">
      <c r="A55" s="26">
        <v>9</v>
      </c>
      <c r="B55" s="26">
        <v>2025</v>
      </c>
      <c r="C55" s="26" t="s">
        <v>165</v>
      </c>
      <c r="D55" s="26" t="s">
        <v>189</v>
      </c>
      <c r="E55" s="26" t="s">
        <v>194</v>
      </c>
      <c r="F55" s="26" t="s">
        <v>288</v>
      </c>
      <c r="G55" s="26" t="s">
        <v>38</v>
      </c>
      <c r="H55" s="26" t="s">
        <v>176</v>
      </c>
      <c r="I55" s="26" t="s">
        <v>191</v>
      </c>
      <c r="J55" s="26" t="s">
        <v>11</v>
      </c>
      <c r="K55" s="26" t="s">
        <v>171</v>
      </c>
      <c r="L55" s="26" t="s">
        <v>172</v>
      </c>
      <c r="M55" s="26" t="s">
        <v>173</v>
      </c>
      <c r="N55" s="26">
        <v>5000</v>
      </c>
      <c r="O55" s="26">
        <v>10</v>
      </c>
      <c r="P55" s="27">
        <v>571800</v>
      </c>
      <c r="Q55" s="27" t="s">
        <v>183</v>
      </c>
      <c r="R55" s="28">
        <v>428925</v>
      </c>
      <c r="S55" s="29">
        <v>5718000</v>
      </c>
      <c r="T55" s="29">
        <f t="shared" si="2"/>
        <v>4289250</v>
      </c>
      <c r="U55" s="30">
        <v>0.02</v>
      </c>
      <c r="V55" s="26" t="s">
        <v>289</v>
      </c>
      <c r="W55" s="31">
        <v>6</v>
      </c>
      <c r="X55" s="28">
        <f t="shared" si="3"/>
        <v>2144625</v>
      </c>
      <c r="Y55" s="32">
        <f>VLOOKUP(Q55,'[3]DATA VALID'!M:O,3,FALSE)</f>
        <v>0.1</v>
      </c>
      <c r="Z55" s="33">
        <f>(R55-VLOOKUP(J55,'[3]DATA VALID'!G:K,5,FALSE))/R55-Y55*1.24</f>
        <v>0.42921559713236579</v>
      </c>
      <c r="AA55" s="33"/>
      <c r="AB55" s="33"/>
      <c r="AC55" s="33"/>
      <c r="AD55" s="33"/>
      <c r="AE55" s="34"/>
      <c r="AF55" s="34"/>
      <c r="AG55" s="34">
        <f>ROUNDUP(Table2[[#This Row],[ Số lượng trúng thầu ]]*Table2[[#This Row],[Số tháng phát sinh]]/12/Table2[[#This Row],[Số tháng phát sinh]],0)</f>
        <v>1</v>
      </c>
      <c r="AH55" s="34">
        <f>ROUNDUP(Table2[[#This Row],[ Số lượng trúng thầu ]]*Table2[[#This Row],[Số tháng phát sinh]]/12/Table2[[#This Row],[Số tháng phát sinh]],0)</f>
        <v>1</v>
      </c>
      <c r="AI55" s="34">
        <f>ROUNDUP(Table2[[#This Row],[ Số lượng trúng thầu ]]*Table2[[#This Row],[Số tháng phát sinh]]/12/Table2[[#This Row],[Số tháng phát sinh]],0)</f>
        <v>1</v>
      </c>
      <c r="AJ55" s="34">
        <f>ROUNDUP(Table2[[#This Row],[ Số lượng trúng thầu ]]*Table2[[#This Row],[Số tháng phát sinh]]/12/Table2[[#This Row],[Số tháng phát sinh]],0)</f>
        <v>1</v>
      </c>
      <c r="AK55" s="34">
        <f>ROUNDUP(Table2[[#This Row],[ Số lượng trúng thầu ]]*Table2[[#This Row],[Số tháng phát sinh]]/12/Table2[[#This Row],[Số tháng phát sinh]],0)</f>
        <v>1</v>
      </c>
      <c r="AL55" s="34">
        <f>ROUNDUP(Table2[[#This Row],[ Số lượng trúng thầu ]]*Table2[[#This Row],[Số tháng phát sinh]]/12/Table2[[#This Row],[Số tháng phát sinh]],0)</f>
        <v>1</v>
      </c>
      <c r="AM55" s="34">
        <f>ROUNDUP(Table2[[#This Row],[ Số lượng trúng thầu ]]*Table2[[#This Row],[Số tháng phát sinh]]/12/Table2[[#This Row],[Số tháng phát sinh]],0)</f>
        <v>1</v>
      </c>
      <c r="AN55" s="34">
        <f>ROUNDUP(Table2[[#This Row],[ Số lượng trúng thầu ]]*Table2[[#This Row],[Số tháng phát sinh]]/12/Table2[[#This Row],[Số tháng phát sinh]],0)</f>
        <v>1</v>
      </c>
    </row>
    <row r="56" spans="1:40" x14ac:dyDescent="0.35">
      <c r="A56" s="26">
        <v>9</v>
      </c>
      <c r="B56" s="26">
        <v>2025</v>
      </c>
      <c r="C56" s="26" t="s">
        <v>165</v>
      </c>
      <c r="D56" s="26" t="s">
        <v>189</v>
      </c>
      <c r="E56" s="26" t="s">
        <v>194</v>
      </c>
      <c r="F56" s="26" t="s">
        <v>288</v>
      </c>
      <c r="G56" s="26" t="s">
        <v>38</v>
      </c>
      <c r="H56" s="26" t="s">
        <v>176</v>
      </c>
      <c r="I56" s="26" t="s">
        <v>204</v>
      </c>
      <c r="J56" s="26" t="s">
        <v>4</v>
      </c>
      <c r="K56" s="26" t="s">
        <v>171</v>
      </c>
      <c r="L56" s="26" t="s">
        <v>172</v>
      </c>
      <c r="M56" s="26" t="s">
        <v>173</v>
      </c>
      <c r="N56" s="26">
        <v>5000</v>
      </c>
      <c r="O56" s="26">
        <v>60</v>
      </c>
      <c r="P56" s="27">
        <v>1348000</v>
      </c>
      <c r="Q56" s="27" t="s">
        <v>183</v>
      </c>
      <c r="R56" s="28">
        <v>980000</v>
      </c>
      <c r="S56" s="29">
        <v>80880000</v>
      </c>
      <c r="T56" s="29">
        <f t="shared" si="2"/>
        <v>58800000</v>
      </c>
      <c r="U56" s="30">
        <v>0.24</v>
      </c>
      <c r="V56" s="26" t="s">
        <v>289</v>
      </c>
      <c r="W56" s="31">
        <v>6</v>
      </c>
      <c r="X56" s="28">
        <f t="shared" si="3"/>
        <v>29400000</v>
      </c>
      <c r="Y56" s="32">
        <f>VLOOKUP(Q56,'[3]DATA VALID'!M:O,3,FALSE)</f>
        <v>0.1</v>
      </c>
      <c r="Z56" s="33">
        <f>(R56-VLOOKUP(J56,'[3]DATA VALID'!G:K,5,FALSE))/R56-Y56*1.24</f>
        <v>0.37779489795918364</v>
      </c>
      <c r="AA56" s="33"/>
      <c r="AB56" s="33"/>
      <c r="AC56" s="33"/>
      <c r="AD56" s="33"/>
      <c r="AE56" s="34"/>
      <c r="AF56" s="34"/>
      <c r="AG56" s="34">
        <f>ROUNDUP(Table2[[#This Row],[ Số lượng trúng thầu ]]*Table2[[#This Row],[Số tháng phát sinh]]/12/Table2[[#This Row],[Số tháng phát sinh]],0)</f>
        <v>5</v>
      </c>
      <c r="AH56" s="34">
        <f>ROUNDUP(Table2[[#This Row],[ Số lượng trúng thầu ]]*Table2[[#This Row],[Số tháng phát sinh]]/12/Table2[[#This Row],[Số tháng phát sinh]],0)</f>
        <v>5</v>
      </c>
      <c r="AI56" s="34">
        <f>ROUNDUP(Table2[[#This Row],[ Số lượng trúng thầu ]]*Table2[[#This Row],[Số tháng phát sinh]]/12/Table2[[#This Row],[Số tháng phát sinh]],0)</f>
        <v>5</v>
      </c>
      <c r="AJ56" s="34">
        <f>ROUNDUP(Table2[[#This Row],[ Số lượng trúng thầu ]]*Table2[[#This Row],[Số tháng phát sinh]]/12/Table2[[#This Row],[Số tháng phát sinh]],0)</f>
        <v>5</v>
      </c>
      <c r="AK56" s="34">
        <f>ROUNDUP(Table2[[#This Row],[ Số lượng trúng thầu ]]*Table2[[#This Row],[Số tháng phát sinh]]/12/Table2[[#This Row],[Số tháng phát sinh]],0)</f>
        <v>5</v>
      </c>
      <c r="AL56" s="34">
        <f>ROUNDUP(Table2[[#This Row],[ Số lượng trúng thầu ]]*Table2[[#This Row],[Số tháng phát sinh]]/12/Table2[[#This Row],[Số tháng phát sinh]],0)</f>
        <v>5</v>
      </c>
      <c r="AM56" s="34">
        <f>ROUNDUP(Table2[[#This Row],[ Số lượng trúng thầu ]]*Table2[[#This Row],[Số tháng phát sinh]]/12/Table2[[#This Row],[Số tháng phát sinh]],0)</f>
        <v>5</v>
      </c>
      <c r="AN56" s="34">
        <f>ROUNDUP(Table2[[#This Row],[ Số lượng trúng thầu ]]*Table2[[#This Row],[Số tháng phát sinh]]/12/Table2[[#This Row],[Số tháng phát sinh]],0)</f>
        <v>5</v>
      </c>
    </row>
    <row r="57" spans="1:40" x14ac:dyDescent="0.35">
      <c r="A57" s="26">
        <v>9</v>
      </c>
      <c r="B57" s="26">
        <v>2025</v>
      </c>
      <c r="C57" s="26" t="s">
        <v>165</v>
      </c>
      <c r="D57" s="26" t="s">
        <v>189</v>
      </c>
      <c r="E57" s="26" t="s">
        <v>194</v>
      </c>
      <c r="F57" s="26" t="s">
        <v>288</v>
      </c>
      <c r="G57" s="26" t="s">
        <v>38</v>
      </c>
      <c r="H57" s="26" t="s">
        <v>176</v>
      </c>
      <c r="I57" s="26" t="s">
        <v>209</v>
      </c>
      <c r="J57" s="31" t="s">
        <v>6</v>
      </c>
      <c r="K57" s="26" t="s">
        <v>171</v>
      </c>
      <c r="L57" s="26" t="s">
        <v>178</v>
      </c>
      <c r="M57" s="26" t="s">
        <v>173</v>
      </c>
      <c r="N57" s="26">
        <v>1000</v>
      </c>
      <c r="O57" s="26">
        <v>50</v>
      </c>
      <c r="P57" s="27">
        <v>627000</v>
      </c>
      <c r="Q57" s="27" t="s">
        <v>183</v>
      </c>
      <c r="R57" s="28">
        <v>440000</v>
      </c>
      <c r="S57" s="29">
        <v>31350000</v>
      </c>
      <c r="T57" s="29">
        <f t="shared" si="2"/>
        <v>22000000</v>
      </c>
      <c r="U57" s="30">
        <v>0.09</v>
      </c>
      <c r="V57" s="26" t="s">
        <v>289</v>
      </c>
      <c r="W57" s="31">
        <v>6</v>
      </c>
      <c r="X57" s="28">
        <f t="shared" si="3"/>
        <v>11000000</v>
      </c>
      <c r="Y57" s="32">
        <f>VLOOKUP(Q57,'[3]DATA VALID'!M:O,3,FALSE)</f>
        <v>0.1</v>
      </c>
      <c r="Z57" s="33">
        <f>(R57-VLOOKUP(J57,'[3]DATA VALID'!G:K,5,FALSE))/R57-Y57*1.24</f>
        <v>0.40493249999999992</v>
      </c>
      <c r="AA57" s="33"/>
      <c r="AB57" s="33"/>
      <c r="AC57" s="33"/>
      <c r="AD57" s="33"/>
      <c r="AE57" s="34"/>
      <c r="AF57" s="34"/>
      <c r="AG57" s="34">
        <f>ROUNDUP(Table2[[#This Row],[ Số lượng trúng thầu ]]*Table2[[#This Row],[Số tháng phát sinh]]/12/Table2[[#This Row],[Số tháng phát sinh]],0)</f>
        <v>5</v>
      </c>
      <c r="AH57" s="34">
        <f>ROUNDUP(Table2[[#This Row],[ Số lượng trúng thầu ]]*Table2[[#This Row],[Số tháng phát sinh]]/12/Table2[[#This Row],[Số tháng phát sinh]],0)</f>
        <v>5</v>
      </c>
      <c r="AI57" s="34">
        <f>ROUNDUP(Table2[[#This Row],[ Số lượng trúng thầu ]]*Table2[[#This Row],[Số tháng phát sinh]]/12/Table2[[#This Row],[Số tháng phát sinh]],0)</f>
        <v>5</v>
      </c>
      <c r="AJ57" s="34">
        <f>ROUNDUP(Table2[[#This Row],[ Số lượng trúng thầu ]]*Table2[[#This Row],[Số tháng phát sinh]]/12/Table2[[#This Row],[Số tháng phát sinh]],0)</f>
        <v>5</v>
      </c>
      <c r="AK57" s="34">
        <f>ROUNDUP(Table2[[#This Row],[ Số lượng trúng thầu ]]*Table2[[#This Row],[Số tháng phát sinh]]/12/Table2[[#This Row],[Số tháng phát sinh]],0)</f>
        <v>5</v>
      </c>
      <c r="AL57" s="34">
        <f>ROUNDUP(Table2[[#This Row],[ Số lượng trúng thầu ]]*Table2[[#This Row],[Số tháng phát sinh]]/12/Table2[[#This Row],[Số tháng phát sinh]],0)</f>
        <v>5</v>
      </c>
      <c r="AM57" s="34">
        <f>ROUNDUP(Table2[[#This Row],[ Số lượng trúng thầu ]]*Table2[[#This Row],[Số tháng phát sinh]]/12/Table2[[#This Row],[Số tháng phát sinh]],0)</f>
        <v>5</v>
      </c>
      <c r="AN57" s="34">
        <f>ROUNDUP(Table2[[#This Row],[ Số lượng trúng thầu ]]*Table2[[#This Row],[Số tháng phát sinh]]/12/Table2[[#This Row],[Số tháng phát sinh]],0)</f>
        <v>5</v>
      </c>
    </row>
    <row r="58" spans="1:40" x14ac:dyDescent="0.35">
      <c r="A58" s="26">
        <v>9</v>
      </c>
      <c r="B58" s="26">
        <v>2025</v>
      </c>
      <c r="C58" s="26" t="s">
        <v>165</v>
      </c>
      <c r="D58" s="26" t="s">
        <v>189</v>
      </c>
      <c r="E58" s="26" t="s">
        <v>194</v>
      </c>
      <c r="F58" s="26" t="s">
        <v>288</v>
      </c>
      <c r="G58" s="26" t="s">
        <v>38</v>
      </c>
      <c r="H58" s="26" t="s">
        <v>290</v>
      </c>
      <c r="I58" s="26" t="s">
        <v>291</v>
      </c>
      <c r="J58" s="31" t="s">
        <v>8</v>
      </c>
      <c r="K58" s="26" t="s">
        <v>186</v>
      </c>
      <c r="L58" s="26" t="s">
        <v>200</v>
      </c>
      <c r="M58" s="26" t="s">
        <v>173</v>
      </c>
      <c r="N58" s="26">
        <v>1000</v>
      </c>
      <c r="O58" s="26">
        <v>5</v>
      </c>
      <c r="P58" s="27">
        <v>397000</v>
      </c>
      <c r="Q58" s="27" t="s">
        <v>183</v>
      </c>
      <c r="R58" s="28">
        <v>260000</v>
      </c>
      <c r="S58" s="29">
        <v>1985000</v>
      </c>
      <c r="T58" s="29">
        <f t="shared" si="2"/>
        <v>1300000</v>
      </c>
      <c r="U58" s="30">
        <v>0.01</v>
      </c>
      <c r="V58" s="26" t="s">
        <v>289</v>
      </c>
      <c r="W58" s="31">
        <v>6</v>
      </c>
      <c r="X58" s="28">
        <f t="shared" si="3"/>
        <v>650000</v>
      </c>
      <c r="Y58" s="32">
        <f>VLOOKUP(Q58,'[3]DATA VALID'!M:O,3,FALSE)</f>
        <v>0.1</v>
      </c>
      <c r="Z58" s="33">
        <f>(R58-VLOOKUP(J58,'[3]DATA VALID'!G:K,5,FALSE))/R58-Y58*1.24</f>
        <v>0.39375923076923069</v>
      </c>
      <c r="AA58" s="33"/>
      <c r="AB58" s="33"/>
      <c r="AC58" s="33"/>
      <c r="AD58" s="33"/>
      <c r="AE58" s="34"/>
      <c r="AF58" s="34"/>
      <c r="AG58" s="34">
        <f>ROUNDUP(Table2[[#This Row],[ Số lượng trúng thầu ]]*Table2[[#This Row],[Số tháng phát sinh]]/12/Table2[[#This Row],[Số tháng phát sinh]],0)</f>
        <v>1</v>
      </c>
      <c r="AH58" s="34">
        <f>ROUNDUP(Table2[[#This Row],[ Số lượng trúng thầu ]]*Table2[[#This Row],[Số tháng phát sinh]]/12/Table2[[#This Row],[Số tháng phát sinh]],0)</f>
        <v>1</v>
      </c>
      <c r="AI58" s="34">
        <f>ROUNDUP(Table2[[#This Row],[ Số lượng trúng thầu ]]*Table2[[#This Row],[Số tháng phát sinh]]/12/Table2[[#This Row],[Số tháng phát sinh]],0)</f>
        <v>1</v>
      </c>
      <c r="AJ58" s="34">
        <f>ROUNDUP(Table2[[#This Row],[ Số lượng trúng thầu ]]*Table2[[#This Row],[Số tháng phát sinh]]/12/Table2[[#This Row],[Số tháng phát sinh]],0)</f>
        <v>1</v>
      </c>
      <c r="AK58" s="34">
        <f>ROUNDUP(Table2[[#This Row],[ Số lượng trúng thầu ]]*Table2[[#This Row],[Số tháng phát sinh]]/12/Table2[[#This Row],[Số tháng phát sinh]],0)</f>
        <v>1</v>
      </c>
      <c r="AL58" s="34">
        <f>ROUNDUP(Table2[[#This Row],[ Số lượng trúng thầu ]]*Table2[[#This Row],[Số tháng phát sinh]]/12/Table2[[#This Row],[Số tháng phát sinh]],0)</f>
        <v>1</v>
      </c>
      <c r="AM58" s="34">
        <f>ROUNDUP(Table2[[#This Row],[ Số lượng trúng thầu ]]*Table2[[#This Row],[Số tháng phát sinh]]/12/Table2[[#This Row],[Số tháng phát sinh]],0)</f>
        <v>1</v>
      </c>
      <c r="AN58" s="34">
        <f>ROUNDUP(Table2[[#This Row],[ Số lượng trúng thầu ]]*Table2[[#This Row],[Số tháng phát sinh]]/12/Table2[[#This Row],[Số tháng phát sinh]],0)</f>
        <v>1</v>
      </c>
    </row>
    <row r="59" spans="1:40" x14ac:dyDescent="0.35">
      <c r="A59" s="26">
        <v>9</v>
      </c>
      <c r="B59" s="26">
        <v>2025</v>
      </c>
      <c r="C59" s="26" t="s">
        <v>165</v>
      </c>
      <c r="D59" s="26" t="s">
        <v>189</v>
      </c>
      <c r="E59" s="26" t="s">
        <v>194</v>
      </c>
      <c r="F59" s="26" t="s">
        <v>292</v>
      </c>
      <c r="G59" s="26" t="s">
        <v>26</v>
      </c>
      <c r="H59" s="26" t="s">
        <v>176</v>
      </c>
      <c r="I59" s="26" t="s">
        <v>204</v>
      </c>
      <c r="J59" s="26" t="s">
        <v>4</v>
      </c>
      <c r="K59" s="26" t="s">
        <v>171</v>
      </c>
      <c r="L59" s="26" t="s">
        <v>172</v>
      </c>
      <c r="M59" s="26" t="s">
        <v>173</v>
      </c>
      <c r="N59" s="26">
        <v>1000</v>
      </c>
      <c r="O59" s="26">
        <v>500</v>
      </c>
      <c r="P59" s="27">
        <v>240000</v>
      </c>
      <c r="Q59" s="27" t="s">
        <v>183</v>
      </c>
      <c r="R59" s="28">
        <f>980000/5</f>
        <v>196000</v>
      </c>
      <c r="S59" s="29">
        <v>120000000</v>
      </c>
      <c r="T59" s="29">
        <f t="shared" si="2"/>
        <v>98000000</v>
      </c>
      <c r="U59" s="30">
        <v>0.51</v>
      </c>
      <c r="V59" s="26" t="s">
        <v>293</v>
      </c>
      <c r="W59" s="31">
        <v>6</v>
      </c>
      <c r="X59" s="28">
        <f t="shared" si="3"/>
        <v>49000000</v>
      </c>
      <c r="Y59" s="32">
        <f>VLOOKUP(Q59,'[3]DATA VALID'!M:O,3,FALSE)</f>
        <v>0.1</v>
      </c>
      <c r="Z59" s="33">
        <f>(R59*5-VLOOKUP(J59,'[3]DATA VALID'!G:K,5,FALSE))/(R59*5)-Y59*1.24</f>
        <v>0.37779489795918364</v>
      </c>
      <c r="AA59" s="33"/>
      <c r="AB59" s="33"/>
      <c r="AC59" s="33"/>
      <c r="AD59" s="33"/>
      <c r="AE59" s="34"/>
      <c r="AF59" s="34"/>
      <c r="AG59" s="34">
        <f>ROUNDUP(Table2[[#This Row],[ Số lượng trúng thầu ]]*Table2[[#This Row],[Số tháng phát sinh]]/12/Table2[[#This Row],[Số tháng phát sinh]],0)</f>
        <v>42</v>
      </c>
      <c r="AH59" s="34">
        <f>ROUNDUP(Table2[[#This Row],[ Số lượng trúng thầu ]]*Table2[[#This Row],[Số tháng phát sinh]]/12/Table2[[#This Row],[Số tháng phát sinh]],0)</f>
        <v>42</v>
      </c>
      <c r="AI59" s="34">
        <f>ROUNDUP(Table2[[#This Row],[ Số lượng trúng thầu ]]*Table2[[#This Row],[Số tháng phát sinh]]/12/Table2[[#This Row],[Số tháng phát sinh]],0)</f>
        <v>42</v>
      </c>
      <c r="AJ59" s="34">
        <f>ROUNDUP(Table2[[#This Row],[ Số lượng trúng thầu ]]*Table2[[#This Row],[Số tháng phát sinh]]/12/Table2[[#This Row],[Số tháng phát sinh]],0)</f>
        <v>42</v>
      </c>
      <c r="AK59" s="34">
        <f>ROUNDUP(Table2[[#This Row],[ Số lượng trúng thầu ]]*Table2[[#This Row],[Số tháng phát sinh]]/12/Table2[[#This Row],[Số tháng phát sinh]],0)</f>
        <v>42</v>
      </c>
      <c r="AL59" s="34">
        <f>ROUNDUP(Table2[[#This Row],[ Số lượng trúng thầu ]]*Table2[[#This Row],[Số tháng phát sinh]]/12/Table2[[#This Row],[Số tháng phát sinh]],0)</f>
        <v>42</v>
      </c>
      <c r="AM59" s="34">
        <f>ROUNDUP(Table2[[#This Row],[ Số lượng trúng thầu ]]*Table2[[#This Row],[Số tháng phát sinh]]/12/Table2[[#This Row],[Số tháng phát sinh]],0)</f>
        <v>42</v>
      </c>
      <c r="AN59" s="34">
        <f>ROUNDUP(Table2[[#This Row],[ Số lượng trúng thầu ]]*Table2[[#This Row],[Số tháng phát sinh]]/12/Table2[[#This Row],[Số tháng phát sinh]],0)</f>
        <v>42</v>
      </c>
    </row>
    <row r="60" spans="1:40" x14ac:dyDescent="0.35">
      <c r="A60" s="26">
        <v>9</v>
      </c>
      <c r="B60" s="26">
        <v>2025</v>
      </c>
      <c r="C60" s="26" t="s">
        <v>165</v>
      </c>
      <c r="D60" s="26" t="s">
        <v>189</v>
      </c>
      <c r="E60" s="26" t="s">
        <v>194</v>
      </c>
      <c r="F60" s="26" t="s">
        <v>292</v>
      </c>
      <c r="G60" s="26" t="s">
        <v>26</v>
      </c>
      <c r="H60" s="26" t="s">
        <v>176</v>
      </c>
      <c r="I60" s="26" t="s">
        <v>246</v>
      </c>
      <c r="J60" s="26" t="s">
        <v>11</v>
      </c>
      <c r="K60" s="26" t="s">
        <v>171</v>
      </c>
      <c r="L60" s="26" t="s">
        <v>172</v>
      </c>
      <c r="M60" s="26" t="s">
        <v>173</v>
      </c>
      <c r="N60" s="26">
        <v>1000</v>
      </c>
      <c r="O60" s="26">
        <v>100</v>
      </c>
      <c r="P60" s="27">
        <v>95000</v>
      </c>
      <c r="Q60" s="27" t="s">
        <v>183</v>
      </c>
      <c r="R60" s="28">
        <f>428925/5</f>
        <v>85785</v>
      </c>
      <c r="S60" s="29">
        <v>9500000</v>
      </c>
      <c r="T60" s="29">
        <f t="shared" si="2"/>
        <v>8578500</v>
      </c>
      <c r="U60" s="30">
        <v>0.04</v>
      </c>
      <c r="V60" s="26" t="s">
        <v>293</v>
      </c>
      <c r="W60" s="31">
        <v>6</v>
      </c>
      <c r="X60" s="28">
        <f t="shared" si="3"/>
        <v>4289250</v>
      </c>
      <c r="Y60" s="32">
        <f>VLOOKUP(Q60,'[3]DATA VALID'!M:O,3,FALSE)</f>
        <v>0.1</v>
      </c>
      <c r="Z60" s="33">
        <f>(R60*5-VLOOKUP(J60,'[3]DATA VALID'!G:K,5,FALSE))/(R60*5)-Y60*1.24</f>
        <v>0.42921559713236579</v>
      </c>
      <c r="AA60" s="33"/>
      <c r="AB60" s="33"/>
      <c r="AC60" s="33"/>
      <c r="AD60" s="33"/>
      <c r="AE60" s="34"/>
      <c r="AF60" s="34"/>
      <c r="AG60" s="34">
        <f>ROUNDUP(Table2[[#This Row],[ Số lượng trúng thầu ]]*Table2[[#This Row],[Số tháng phát sinh]]/12/Table2[[#This Row],[Số tháng phát sinh]],0)</f>
        <v>9</v>
      </c>
      <c r="AH60" s="34">
        <f>ROUNDUP(Table2[[#This Row],[ Số lượng trúng thầu ]]*Table2[[#This Row],[Số tháng phát sinh]]/12/Table2[[#This Row],[Số tháng phát sinh]],0)</f>
        <v>9</v>
      </c>
      <c r="AI60" s="34">
        <f>ROUNDUP(Table2[[#This Row],[ Số lượng trúng thầu ]]*Table2[[#This Row],[Số tháng phát sinh]]/12/Table2[[#This Row],[Số tháng phát sinh]],0)</f>
        <v>9</v>
      </c>
      <c r="AJ60" s="34">
        <f>ROUNDUP(Table2[[#This Row],[ Số lượng trúng thầu ]]*Table2[[#This Row],[Số tháng phát sinh]]/12/Table2[[#This Row],[Số tháng phát sinh]],0)</f>
        <v>9</v>
      </c>
      <c r="AK60" s="34">
        <f>ROUNDUP(Table2[[#This Row],[ Số lượng trúng thầu ]]*Table2[[#This Row],[Số tháng phát sinh]]/12/Table2[[#This Row],[Số tháng phát sinh]],0)</f>
        <v>9</v>
      </c>
      <c r="AL60" s="34">
        <f>ROUNDUP(Table2[[#This Row],[ Số lượng trúng thầu ]]*Table2[[#This Row],[Số tháng phát sinh]]/12/Table2[[#This Row],[Số tháng phát sinh]],0)</f>
        <v>9</v>
      </c>
      <c r="AM60" s="34">
        <f>ROUNDUP(Table2[[#This Row],[ Số lượng trúng thầu ]]*Table2[[#This Row],[Số tháng phát sinh]]/12/Table2[[#This Row],[Số tháng phát sinh]],0)</f>
        <v>9</v>
      </c>
      <c r="AN60" s="34">
        <f>ROUNDUP(Table2[[#This Row],[ Số lượng trúng thầu ]]*Table2[[#This Row],[Số tháng phát sinh]]/12/Table2[[#This Row],[Số tháng phát sinh]],0)</f>
        <v>9</v>
      </c>
    </row>
    <row r="61" spans="1:40" x14ac:dyDescent="0.35">
      <c r="A61" s="26">
        <v>9</v>
      </c>
      <c r="B61" s="26">
        <v>2025</v>
      </c>
      <c r="C61" s="26" t="s">
        <v>165</v>
      </c>
      <c r="D61" s="26" t="s">
        <v>189</v>
      </c>
      <c r="E61" s="26" t="s">
        <v>194</v>
      </c>
      <c r="F61" s="26" t="s">
        <v>295</v>
      </c>
      <c r="G61" s="26" t="s">
        <v>296</v>
      </c>
      <c r="H61" s="26" t="s">
        <v>290</v>
      </c>
      <c r="I61" s="26" t="s">
        <v>297</v>
      </c>
      <c r="J61" s="31" t="s">
        <v>9</v>
      </c>
      <c r="K61" s="26" t="s">
        <v>171</v>
      </c>
      <c r="L61" s="26" t="s">
        <v>178</v>
      </c>
      <c r="M61" s="26" t="s">
        <v>173</v>
      </c>
      <c r="N61" s="26">
        <v>5000</v>
      </c>
      <c r="O61" s="26">
        <v>450</v>
      </c>
      <c r="P61" s="27">
        <v>2254980</v>
      </c>
      <c r="Q61" s="27" t="s">
        <v>183</v>
      </c>
      <c r="R61" s="28">
        <v>1450000</v>
      </c>
      <c r="S61" s="29">
        <v>1014741000</v>
      </c>
      <c r="T61" s="29">
        <f t="shared" si="2"/>
        <v>652500000</v>
      </c>
      <c r="U61" s="30">
        <v>0.44</v>
      </c>
      <c r="V61" s="26" t="s">
        <v>298</v>
      </c>
      <c r="W61" s="31">
        <v>6</v>
      </c>
      <c r="X61" s="28">
        <f t="shared" si="3"/>
        <v>326250000</v>
      </c>
      <c r="Y61" s="32">
        <f>VLOOKUP(Q61,'[3]DATA VALID'!M:O,3,FALSE)</f>
        <v>0.1</v>
      </c>
      <c r="Z61" s="33">
        <f>(R61-VLOOKUP(J61,'[3]DATA VALID'!G:K,5,FALSE))/R61-Y61*1.24</f>
        <v>0.45095172413793105</v>
      </c>
      <c r="AA61" s="33"/>
      <c r="AB61" s="33"/>
      <c r="AC61" s="33"/>
      <c r="AD61" s="33"/>
      <c r="AE61" s="34"/>
      <c r="AF61" s="34"/>
      <c r="AG61" s="34">
        <f>ROUNDUP(Table2[[#This Row],[ Số lượng trúng thầu ]]*Table2[[#This Row],[Số tháng phát sinh]]/12/Table2[[#This Row],[Số tháng phát sinh]],0)</f>
        <v>38</v>
      </c>
      <c r="AH61" s="34">
        <f>ROUNDUP(Table2[[#This Row],[ Số lượng trúng thầu ]]*Table2[[#This Row],[Số tháng phát sinh]]/12/Table2[[#This Row],[Số tháng phát sinh]],0)</f>
        <v>38</v>
      </c>
      <c r="AI61" s="34">
        <f>ROUNDUP(Table2[[#This Row],[ Số lượng trúng thầu ]]*Table2[[#This Row],[Số tháng phát sinh]]/12/Table2[[#This Row],[Số tháng phát sinh]],0)</f>
        <v>38</v>
      </c>
      <c r="AJ61" s="34">
        <f>ROUNDUP(Table2[[#This Row],[ Số lượng trúng thầu ]]*Table2[[#This Row],[Số tháng phát sinh]]/12/Table2[[#This Row],[Số tháng phát sinh]],0)</f>
        <v>38</v>
      </c>
      <c r="AK61" s="34">
        <f>ROUNDUP(Table2[[#This Row],[ Số lượng trúng thầu ]]*Table2[[#This Row],[Số tháng phát sinh]]/12/Table2[[#This Row],[Số tháng phát sinh]],0)</f>
        <v>38</v>
      </c>
      <c r="AL61" s="34">
        <f>ROUNDUP(Table2[[#This Row],[ Số lượng trúng thầu ]]*Table2[[#This Row],[Số tháng phát sinh]]/12/Table2[[#This Row],[Số tháng phát sinh]],0)</f>
        <v>38</v>
      </c>
      <c r="AM61" s="34">
        <f>ROUNDUP(Table2[[#This Row],[ Số lượng trúng thầu ]]*Table2[[#This Row],[Số tháng phát sinh]]/12/Table2[[#This Row],[Số tháng phát sinh]],0)</f>
        <v>38</v>
      </c>
      <c r="AN61" s="34">
        <f>ROUNDUP(Table2[[#This Row],[ Số lượng trúng thầu ]]*Table2[[#This Row],[Số tháng phát sinh]]/12/Table2[[#This Row],[Số tháng phát sinh]],0)</f>
        <v>38</v>
      </c>
    </row>
    <row r="62" spans="1:40" x14ac:dyDescent="0.35">
      <c r="A62" s="26">
        <v>9</v>
      </c>
      <c r="B62" s="26">
        <v>2025</v>
      </c>
      <c r="C62" s="26" t="s">
        <v>165</v>
      </c>
      <c r="D62" s="26" t="s">
        <v>166</v>
      </c>
      <c r="E62" s="26" t="s">
        <v>167</v>
      </c>
      <c r="F62" s="26" t="s">
        <v>299</v>
      </c>
      <c r="G62" s="26" t="s">
        <v>45</v>
      </c>
      <c r="H62" s="26" t="s">
        <v>176</v>
      </c>
      <c r="I62" s="26" t="s">
        <v>300</v>
      </c>
      <c r="J62" s="31" t="s">
        <v>5</v>
      </c>
      <c r="K62" s="26" t="s">
        <v>171</v>
      </c>
      <c r="L62" s="26" t="s">
        <v>178</v>
      </c>
      <c r="M62" s="26" t="s">
        <v>173</v>
      </c>
      <c r="N62" s="26">
        <v>1000</v>
      </c>
      <c r="O62" s="26">
        <v>350</v>
      </c>
      <c r="P62" s="27">
        <v>537600</v>
      </c>
      <c r="Q62" s="27" t="s">
        <v>183</v>
      </c>
      <c r="R62" s="27">
        <v>530000</v>
      </c>
      <c r="S62" s="29">
        <v>188160000</v>
      </c>
      <c r="T62" s="29">
        <f t="shared" si="2"/>
        <v>185500000</v>
      </c>
      <c r="U62" s="30">
        <v>0.21</v>
      </c>
      <c r="V62" s="26" t="s">
        <v>301</v>
      </c>
      <c r="W62" s="31">
        <v>6</v>
      </c>
      <c r="X62" s="28">
        <f t="shared" si="3"/>
        <v>92750000</v>
      </c>
      <c r="Y62" s="32">
        <f>VLOOKUP(Q62,'[3]DATA VALID'!M:O,3,FALSE)</f>
        <v>0.1</v>
      </c>
      <c r="Z62" s="33">
        <f>(R62-VLOOKUP(J62,'[3]DATA VALID'!G:K,5,FALSE))/R62-Y62*1.24</f>
        <v>0.41266981132075475</v>
      </c>
      <c r="AA62" s="33"/>
      <c r="AB62" s="33"/>
      <c r="AC62" s="33"/>
      <c r="AD62" s="33"/>
      <c r="AE62" s="34"/>
      <c r="AF62" s="34"/>
      <c r="AG62" s="34">
        <f>ROUNDUP(Table2[[#This Row],[ Số lượng trúng thầu ]]*Table2[[#This Row],[Số tháng phát sinh]]/12/Table2[[#This Row],[Số tháng phát sinh]],0)</f>
        <v>30</v>
      </c>
      <c r="AH62" s="34">
        <f>ROUNDUP(Table2[[#This Row],[ Số lượng trúng thầu ]]*Table2[[#This Row],[Số tháng phát sinh]]/12/Table2[[#This Row],[Số tháng phát sinh]],0)</f>
        <v>30</v>
      </c>
      <c r="AI62" s="34">
        <f>ROUNDUP(Table2[[#This Row],[ Số lượng trúng thầu ]]*Table2[[#This Row],[Số tháng phát sinh]]/12/Table2[[#This Row],[Số tháng phát sinh]],0)</f>
        <v>30</v>
      </c>
      <c r="AJ62" s="34">
        <f>ROUNDUP(Table2[[#This Row],[ Số lượng trúng thầu ]]*Table2[[#This Row],[Số tháng phát sinh]]/12/Table2[[#This Row],[Số tháng phát sinh]],0)</f>
        <v>30</v>
      </c>
      <c r="AK62" s="34">
        <f>ROUNDUP(Table2[[#This Row],[ Số lượng trúng thầu ]]*Table2[[#This Row],[Số tháng phát sinh]]/12/Table2[[#This Row],[Số tháng phát sinh]],0)</f>
        <v>30</v>
      </c>
      <c r="AL62" s="34">
        <f>ROUNDUP(Table2[[#This Row],[ Số lượng trúng thầu ]]*Table2[[#This Row],[Số tháng phát sinh]]/12/Table2[[#This Row],[Số tháng phát sinh]],0)</f>
        <v>30</v>
      </c>
      <c r="AM62" s="34">
        <f>ROUNDUP(Table2[[#This Row],[ Số lượng trúng thầu ]]*Table2[[#This Row],[Số tháng phát sinh]]/12/Table2[[#This Row],[Số tháng phát sinh]],0)</f>
        <v>30</v>
      </c>
      <c r="AN62" s="34">
        <f>ROUNDUP(Table2[[#This Row],[ Số lượng trúng thầu ]]*Table2[[#This Row],[Số tháng phát sinh]]/12/Table2[[#This Row],[Số tháng phát sinh]],0)</f>
        <v>30</v>
      </c>
    </row>
    <row r="63" spans="1:40" x14ac:dyDescent="0.35">
      <c r="A63" s="26">
        <v>10</v>
      </c>
      <c r="B63" s="26">
        <v>2025</v>
      </c>
      <c r="C63" s="26" t="s">
        <v>165</v>
      </c>
      <c r="D63" s="26" t="s">
        <v>166</v>
      </c>
      <c r="E63" s="26" t="s">
        <v>167</v>
      </c>
      <c r="F63" s="26" t="s">
        <v>302</v>
      </c>
      <c r="G63" s="26" t="s">
        <v>36</v>
      </c>
      <c r="H63" s="26" t="s">
        <v>176</v>
      </c>
      <c r="I63" s="26" t="s">
        <v>244</v>
      </c>
      <c r="J63" s="31" t="s">
        <v>5</v>
      </c>
      <c r="K63" s="26" t="s">
        <v>171</v>
      </c>
      <c r="L63" s="26" t="s">
        <v>178</v>
      </c>
      <c r="M63" s="26" t="s">
        <v>173</v>
      </c>
      <c r="N63" s="26">
        <v>1000</v>
      </c>
      <c r="O63" s="26">
        <v>300</v>
      </c>
      <c r="P63" s="27">
        <v>577668</v>
      </c>
      <c r="Q63" s="27" t="s">
        <v>183</v>
      </c>
      <c r="R63" s="27">
        <v>530000</v>
      </c>
      <c r="S63" s="29">
        <v>173300400</v>
      </c>
      <c r="T63" s="29">
        <f t="shared" si="2"/>
        <v>159000000</v>
      </c>
      <c r="U63" s="30">
        <v>0.05</v>
      </c>
      <c r="V63" s="26" t="s">
        <v>303</v>
      </c>
      <c r="W63" s="31">
        <v>5</v>
      </c>
      <c r="X63" s="28">
        <f t="shared" si="3"/>
        <v>66250000</v>
      </c>
      <c r="Y63" s="32">
        <f>VLOOKUP(Q63,'[3]DATA VALID'!M:O,3,FALSE)</f>
        <v>0.1</v>
      </c>
      <c r="Z63" s="33">
        <f>(R63-VLOOKUP(J63,'[3]DATA VALID'!G:K,5,FALSE))/R63-Y63*1.24</f>
        <v>0.41266981132075475</v>
      </c>
      <c r="AA63" s="33"/>
      <c r="AB63" s="33"/>
      <c r="AC63" s="33"/>
      <c r="AD63" s="33"/>
      <c r="AE63" s="34"/>
      <c r="AF63" s="34"/>
      <c r="AG63" s="34"/>
      <c r="AH63" s="34">
        <f>ROUNDUP(Table2[[#This Row],[ Số lượng trúng thầu ]]*Table2[[#This Row],[Số tháng phát sinh]]/12/Table2[[#This Row],[Số tháng phát sinh]],0)</f>
        <v>25</v>
      </c>
      <c r="AI63" s="34">
        <f>ROUNDUP(Table2[[#This Row],[ Số lượng trúng thầu ]]*Table2[[#This Row],[Số tháng phát sinh]]/12/Table2[[#This Row],[Số tháng phát sinh]],0)</f>
        <v>25</v>
      </c>
      <c r="AJ63" s="34">
        <f>ROUNDUP(Table2[[#This Row],[ Số lượng trúng thầu ]]*Table2[[#This Row],[Số tháng phát sinh]]/12/Table2[[#This Row],[Số tháng phát sinh]],0)</f>
        <v>25</v>
      </c>
      <c r="AK63" s="34">
        <f>ROUNDUP(Table2[[#This Row],[ Số lượng trúng thầu ]]*Table2[[#This Row],[Số tháng phát sinh]]/12/Table2[[#This Row],[Số tháng phát sinh]],0)</f>
        <v>25</v>
      </c>
      <c r="AL63" s="34">
        <f>ROUNDUP(Table2[[#This Row],[ Số lượng trúng thầu ]]*Table2[[#This Row],[Số tháng phát sinh]]/12/Table2[[#This Row],[Số tháng phát sinh]],0)</f>
        <v>25</v>
      </c>
      <c r="AM63" s="34">
        <f>ROUNDUP(Table2[[#This Row],[ Số lượng trúng thầu ]]*Table2[[#This Row],[Số tháng phát sinh]]/12/Table2[[#This Row],[Số tháng phát sinh]],0)</f>
        <v>25</v>
      </c>
      <c r="AN63" s="34">
        <f>ROUNDUP(Table2[[#This Row],[ Số lượng trúng thầu ]]*Table2[[#This Row],[Số tháng phát sinh]]/12/Table2[[#This Row],[Số tháng phát sinh]],0)</f>
        <v>25</v>
      </c>
    </row>
    <row r="64" spans="1:40" x14ac:dyDescent="0.35">
      <c r="A64" s="26">
        <v>10</v>
      </c>
      <c r="B64" s="26">
        <v>2025</v>
      </c>
      <c r="C64" s="26" t="s">
        <v>165</v>
      </c>
      <c r="D64" s="26" t="s">
        <v>166</v>
      </c>
      <c r="E64" s="26" t="s">
        <v>167</v>
      </c>
      <c r="F64" s="26" t="s">
        <v>302</v>
      </c>
      <c r="G64" s="26" t="s">
        <v>36</v>
      </c>
      <c r="H64" s="26" t="s">
        <v>176</v>
      </c>
      <c r="I64" s="26" t="s">
        <v>241</v>
      </c>
      <c r="J64" s="26" t="s">
        <v>7</v>
      </c>
      <c r="K64" s="26" t="s">
        <v>171</v>
      </c>
      <c r="L64" s="26" t="s">
        <v>178</v>
      </c>
      <c r="M64" s="26" t="s">
        <v>173</v>
      </c>
      <c r="N64" s="26">
        <v>5000</v>
      </c>
      <c r="O64" s="26">
        <v>1000</v>
      </c>
      <c r="P64" s="27">
        <v>440000</v>
      </c>
      <c r="Q64" s="27" t="s">
        <v>183</v>
      </c>
      <c r="R64" s="28">
        <v>440000</v>
      </c>
      <c r="S64" s="29">
        <v>440000000</v>
      </c>
      <c r="T64" s="29">
        <f t="shared" si="2"/>
        <v>440000000</v>
      </c>
      <c r="U64" s="30">
        <v>0.14000000000000001</v>
      </c>
      <c r="V64" s="26" t="s">
        <v>304</v>
      </c>
      <c r="W64" s="31">
        <v>5</v>
      </c>
      <c r="X64" s="28">
        <f t="shared" si="3"/>
        <v>183333333.33333334</v>
      </c>
      <c r="Y64" s="32">
        <f>VLOOKUP(Q64,'[3]DATA VALID'!M:O,3,FALSE)</f>
        <v>0.1</v>
      </c>
      <c r="Z64" s="33">
        <f>(R64*5-VLOOKUP(J64,'[3]DATA VALID'!G:K,5,FALSE))/(R64*5)-Y64*1.24</f>
        <v>0.45982349999999983</v>
      </c>
      <c r="AA64" s="33"/>
      <c r="AB64" s="33"/>
      <c r="AC64" s="33"/>
      <c r="AD64" s="33"/>
      <c r="AE64" s="34"/>
      <c r="AF64" s="34"/>
      <c r="AG64" s="34"/>
      <c r="AH64" s="34">
        <f>ROUNDUP(Table2[[#This Row],[ Số lượng trúng thầu ]]*Table2[[#This Row],[Số tháng phát sinh]]/12/Table2[[#This Row],[Số tháng phát sinh]],0)</f>
        <v>84</v>
      </c>
      <c r="AI64" s="34">
        <f>ROUNDUP(Table2[[#This Row],[ Số lượng trúng thầu ]]*Table2[[#This Row],[Số tháng phát sinh]]/12/Table2[[#This Row],[Số tháng phát sinh]],0)</f>
        <v>84</v>
      </c>
      <c r="AJ64" s="34">
        <f>ROUNDUP(Table2[[#This Row],[ Số lượng trúng thầu ]]*Table2[[#This Row],[Số tháng phát sinh]]/12/Table2[[#This Row],[Số tháng phát sinh]],0)</f>
        <v>84</v>
      </c>
      <c r="AK64" s="34">
        <f>ROUNDUP(Table2[[#This Row],[ Số lượng trúng thầu ]]*Table2[[#This Row],[Số tháng phát sinh]]/12/Table2[[#This Row],[Số tháng phát sinh]],0)</f>
        <v>84</v>
      </c>
      <c r="AL64" s="34">
        <f>ROUNDUP(Table2[[#This Row],[ Số lượng trúng thầu ]]*Table2[[#This Row],[Số tháng phát sinh]]/12/Table2[[#This Row],[Số tháng phát sinh]],0)</f>
        <v>84</v>
      </c>
      <c r="AM64" s="34">
        <f>ROUNDUP(Table2[[#This Row],[ Số lượng trúng thầu ]]*Table2[[#This Row],[Số tháng phát sinh]]/12/Table2[[#This Row],[Số tháng phát sinh]],0)</f>
        <v>84</v>
      </c>
      <c r="AN64" s="34">
        <f>ROUNDUP(Table2[[#This Row],[ Số lượng trúng thầu ]]*Table2[[#This Row],[Số tháng phát sinh]]/12/Table2[[#This Row],[Số tháng phát sinh]],0)</f>
        <v>84</v>
      </c>
    </row>
    <row r="65" spans="1:40" x14ac:dyDescent="0.35">
      <c r="A65" s="26">
        <v>10</v>
      </c>
      <c r="B65" s="26">
        <v>2025</v>
      </c>
      <c r="C65" s="26" t="s">
        <v>165</v>
      </c>
      <c r="D65" s="26" t="s">
        <v>166</v>
      </c>
      <c r="E65" s="26" t="s">
        <v>167</v>
      </c>
      <c r="F65" s="26" t="s">
        <v>302</v>
      </c>
      <c r="G65" s="26" t="s">
        <v>36</v>
      </c>
      <c r="H65" s="26" t="s">
        <v>176</v>
      </c>
      <c r="I65" s="26" t="s">
        <v>191</v>
      </c>
      <c r="J65" s="26" t="s">
        <v>11</v>
      </c>
      <c r="K65" s="26" t="s">
        <v>171</v>
      </c>
      <c r="L65" s="26" t="s">
        <v>172</v>
      </c>
      <c r="M65" s="26" t="s">
        <v>173</v>
      </c>
      <c r="N65" s="26">
        <v>5000</v>
      </c>
      <c r="O65" s="26">
        <v>160</v>
      </c>
      <c r="P65" s="27">
        <v>460000</v>
      </c>
      <c r="Q65" s="27" t="s">
        <v>183</v>
      </c>
      <c r="R65" s="28">
        <v>428925</v>
      </c>
      <c r="S65" s="29">
        <v>73600000</v>
      </c>
      <c r="T65" s="29">
        <f t="shared" si="2"/>
        <v>68628000</v>
      </c>
      <c r="U65" s="30">
        <v>0.02</v>
      </c>
      <c r="V65" s="26" t="s">
        <v>305</v>
      </c>
      <c r="W65" s="31">
        <v>5</v>
      </c>
      <c r="X65" s="28">
        <f t="shared" si="3"/>
        <v>28595000</v>
      </c>
      <c r="Y65" s="32">
        <f>VLOOKUP(Q65,'[3]DATA VALID'!M:O,3,FALSE)</f>
        <v>0.1</v>
      </c>
      <c r="Z65" s="33">
        <f>(R65-VLOOKUP(J65,'[3]DATA VALID'!G:K,5,FALSE))/R65-Y65*1.24</f>
        <v>0.42921559713236579</v>
      </c>
      <c r="AA65" s="33"/>
      <c r="AB65" s="33"/>
      <c r="AC65" s="33"/>
      <c r="AD65" s="33"/>
      <c r="AE65" s="34"/>
      <c r="AF65" s="34"/>
      <c r="AG65" s="34"/>
      <c r="AH65" s="34">
        <f>ROUNDUP(Table2[[#This Row],[ Số lượng trúng thầu ]]*Table2[[#This Row],[Số tháng phát sinh]]/12/Table2[[#This Row],[Số tháng phát sinh]],0)</f>
        <v>14</v>
      </c>
      <c r="AI65" s="34">
        <f>ROUNDUP(Table2[[#This Row],[ Số lượng trúng thầu ]]*Table2[[#This Row],[Số tháng phát sinh]]/12/Table2[[#This Row],[Số tháng phát sinh]],0)</f>
        <v>14</v>
      </c>
      <c r="AJ65" s="34">
        <f>ROUNDUP(Table2[[#This Row],[ Số lượng trúng thầu ]]*Table2[[#This Row],[Số tháng phát sinh]]/12/Table2[[#This Row],[Số tháng phát sinh]],0)</f>
        <v>14</v>
      </c>
      <c r="AK65" s="34">
        <f>ROUNDUP(Table2[[#This Row],[ Số lượng trúng thầu ]]*Table2[[#This Row],[Số tháng phát sinh]]/12/Table2[[#This Row],[Số tháng phát sinh]],0)</f>
        <v>14</v>
      </c>
      <c r="AL65" s="34">
        <f>ROUNDUP(Table2[[#This Row],[ Số lượng trúng thầu ]]*Table2[[#This Row],[Số tháng phát sinh]]/12/Table2[[#This Row],[Số tháng phát sinh]],0)</f>
        <v>14</v>
      </c>
      <c r="AM65" s="34">
        <f>ROUNDUP(Table2[[#This Row],[ Số lượng trúng thầu ]]*Table2[[#This Row],[Số tháng phát sinh]]/12/Table2[[#This Row],[Số tháng phát sinh]],0)</f>
        <v>14</v>
      </c>
      <c r="AN65" s="34">
        <f>ROUNDUP(Table2[[#This Row],[ Số lượng trúng thầu ]]*Table2[[#This Row],[Số tháng phát sinh]]/12/Table2[[#This Row],[Số tháng phát sinh]],0)</f>
        <v>14</v>
      </c>
    </row>
    <row r="66" spans="1:40" x14ac:dyDescent="0.35">
      <c r="A66" s="26">
        <v>10</v>
      </c>
      <c r="B66" s="26">
        <v>2025</v>
      </c>
      <c r="C66" s="26" t="s">
        <v>165</v>
      </c>
      <c r="D66" s="26" t="s">
        <v>166</v>
      </c>
      <c r="E66" s="26" t="s">
        <v>167</v>
      </c>
      <c r="F66" s="26" t="s">
        <v>302</v>
      </c>
      <c r="G66" s="26" t="s">
        <v>36</v>
      </c>
      <c r="H66" s="26" t="s">
        <v>176</v>
      </c>
      <c r="I66" s="26" t="s">
        <v>204</v>
      </c>
      <c r="J66" s="26" t="s">
        <v>4</v>
      </c>
      <c r="K66" s="26" t="s">
        <v>171</v>
      </c>
      <c r="L66" s="26" t="s">
        <v>172</v>
      </c>
      <c r="M66" s="26" t="s">
        <v>173</v>
      </c>
      <c r="N66" s="26">
        <v>5000</v>
      </c>
      <c r="O66" s="26">
        <v>300</v>
      </c>
      <c r="P66" s="27">
        <v>1100000</v>
      </c>
      <c r="Q66" s="27" t="s">
        <v>183</v>
      </c>
      <c r="R66" s="28">
        <v>980000</v>
      </c>
      <c r="S66" s="29">
        <v>330000000</v>
      </c>
      <c r="T66" s="29">
        <f t="shared" si="2"/>
        <v>294000000</v>
      </c>
      <c r="U66" s="30">
        <v>0.1</v>
      </c>
      <c r="V66" s="26" t="s">
        <v>306</v>
      </c>
      <c r="W66" s="31">
        <v>5</v>
      </c>
      <c r="X66" s="28">
        <f t="shared" si="3"/>
        <v>122500000</v>
      </c>
      <c r="Y66" s="32">
        <f>VLOOKUP(Q66,'[3]DATA VALID'!M:O,3,FALSE)</f>
        <v>0.1</v>
      </c>
      <c r="Z66" s="33">
        <f>(R66-VLOOKUP(J66,'[3]DATA VALID'!G:K,5,FALSE))/R66-Y66*1.24</f>
        <v>0.37779489795918364</v>
      </c>
      <c r="AA66" s="33"/>
      <c r="AB66" s="33"/>
      <c r="AC66" s="33"/>
      <c r="AD66" s="33"/>
      <c r="AE66" s="34"/>
      <c r="AF66" s="34"/>
      <c r="AG66" s="34"/>
      <c r="AH66" s="34">
        <f>ROUNDUP(Table2[[#This Row],[ Số lượng trúng thầu ]]*Table2[[#This Row],[Số tháng phát sinh]]/12/Table2[[#This Row],[Số tháng phát sinh]],0)</f>
        <v>25</v>
      </c>
      <c r="AI66" s="34">
        <f>ROUNDUP(Table2[[#This Row],[ Số lượng trúng thầu ]]*Table2[[#This Row],[Số tháng phát sinh]]/12/Table2[[#This Row],[Số tháng phát sinh]],0)</f>
        <v>25</v>
      </c>
      <c r="AJ66" s="34">
        <f>ROUNDUP(Table2[[#This Row],[ Số lượng trúng thầu ]]*Table2[[#This Row],[Số tháng phát sinh]]/12/Table2[[#This Row],[Số tháng phát sinh]],0)</f>
        <v>25</v>
      </c>
      <c r="AK66" s="34">
        <f>ROUNDUP(Table2[[#This Row],[ Số lượng trúng thầu ]]*Table2[[#This Row],[Số tháng phát sinh]]/12/Table2[[#This Row],[Số tháng phát sinh]],0)</f>
        <v>25</v>
      </c>
      <c r="AL66" s="34">
        <f>ROUNDUP(Table2[[#This Row],[ Số lượng trúng thầu ]]*Table2[[#This Row],[Số tháng phát sinh]]/12/Table2[[#This Row],[Số tháng phát sinh]],0)</f>
        <v>25</v>
      </c>
      <c r="AM66" s="34">
        <f>ROUNDUP(Table2[[#This Row],[ Số lượng trúng thầu ]]*Table2[[#This Row],[Số tháng phát sinh]]/12/Table2[[#This Row],[Số tháng phát sinh]],0)</f>
        <v>25</v>
      </c>
      <c r="AN66" s="34">
        <f>ROUNDUP(Table2[[#This Row],[ Số lượng trúng thầu ]]*Table2[[#This Row],[Số tháng phát sinh]]/12/Table2[[#This Row],[Số tháng phát sinh]],0)</f>
        <v>25</v>
      </c>
    </row>
    <row r="67" spans="1:40" x14ac:dyDescent="0.35">
      <c r="A67" s="26">
        <v>10</v>
      </c>
      <c r="B67" s="26">
        <v>2025</v>
      </c>
      <c r="C67" s="26" t="s">
        <v>165</v>
      </c>
      <c r="D67" s="26" t="s">
        <v>166</v>
      </c>
      <c r="E67" s="26" t="s">
        <v>167</v>
      </c>
      <c r="F67" s="26" t="s">
        <v>302</v>
      </c>
      <c r="G67" s="26" t="s">
        <v>36</v>
      </c>
      <c r="H67" s="26" t="s">
        <v>176</v>
      </c>
      <c r="I67" s="26" t="s">
        <v>213</v>
      </c>
      <c r="J67" s="31" t="s">
        <v>10</v>
      </c>
      <c r="K67" s="26" t="s">
        <v>186</v>
      </c>
      <c r="L67" s="26" t="s">
        <v>200</v>
      </c>
      <c r="M67" s="26" t="s">
        <v>173</v>
      </c>
      <c r="N67" s="26">
        <v>750</v>
      </c>
      <c r="O67" s="26">
        <v>200</v>
      </c>
      <c r="P67" s="27">
        <v>400260</v>
      </c>
      <c r="Q67" s="27" t="s">
        <v>183</v>
      </c>
      <c r="R67" s="28">
        <v>360000</v>
      </c>
      <c r="S67" s="29">
        <v>80052000</v>
      </c>
      <c r="T67" s="29">
        <f t="shared" si="2"/>
        <v>72000000</v>
      </c>
      <c r="U67" s="30">
        <v>0.03</v>
      </c>
      <c r="V67" s="26" t="s">
        <v>307</v>
      </c>
      <c r="W67" s="31">
        <v>5</v>
      </c>
      <c r="X67" s="28">
        <f t="shared" si="3"/>
        <v>30000000</v>
      </c>
      <c r="Y67" s="32">
        <f>VLOOKUP(Q67,'[3]DATA VALID'!M:O,3,FALSE)</f>
        <v>0.1</v>
      </c>
      <c r="Z67" s="33">
        <f>(R67-VLOOKUP(J67,'[3]DATA VALID'!G:K,5,FALSE))/R67-Y67*1.24</f>
        <v>0.56480833333333336</v>
      </c>
      <c r="AA67" s="33"/>
      <c r="AB67" s="33"/>
      <c r="AC67" s="33"/>
      <c r="AD67" s="33"/>
      <c r="AE67" s="34"/>
      <c r="AF67" s="34"/>
      <c r="AG67" s="34"/>
      <c r="AH67" s="34">
        <f>ROUNDUP(Table2[[#This Row],[ Số lượng trúng thầu ]]*Table2[[#This Row],[Số tháng phát sinh]]/12/Table2[[#This Row],[Số tháng phát sinh]],0)</f>
        <v>17</v>
      </c>
      <c r="AI67" s="34">
        <f>ROUNDUP(Table2[[#This Row],[ Số lượng trúng thầu ]]*Table2[[#This Row],[Số tháng phát sinh]]/12/Table2[[#This Row],[Số tháng phát sinh]],0)</f>
        <v>17</v>
      </c>
      <c r="AJ67" s="34">
        <f>ROUNDUP(Table2[[#This Row],[ Số lượng trúng thầu ]]*Table2[[#This Row],[Số tháng phát sinh]]/12/Table2[[#This Row],[Số tháng phát sinh]],0)</f>
        <v>17</v>
      </c>
      <c r="AK67" s="34">
        <f>ROUNDUP(Table2[[#This Row],[ Số lượng trúng thầu ]]*Table2[[#This Row],[Số tháng phát sinh]]/12/Table2[[#This Row],[Số tháng phát sinh]],0)</f>
        <v>17</v>
      </c>
      <c r="AL67" s="34">
        <f>ROUNDUP(Table2[[#This Row],[ Số lượng trúng thầu ]]*Table2[[#This Row],[Số tháng phát sinh]]/12/Table2[[#This Row],[Số tháng phát sinh]],0)</f>
        <v>17</v>
      </c>
      <c r="AM67" s="34">
        <f>ROUNDUP(Table2[[#This Row],[ Số lượng trúng thầu ]]*Table2[[#This Row],[Số tháng phát sinh]]/12/Table2[[#This Row],[Số tháng phát sinh]],0)</f>
        <v>17</v>
      </c>
      <c r="AN67" s="34">
        <f>ROUNDUP(Table2[[#This Row],[ Số lượng trúng thầu ]]*Table2[[#This Row],[Số tháng phát sinh]]/12/Table2[[#This Row],[Số tháng phát sinh]],0)</f>
        <v>17</v>
      </c>
    </row>
    <row r="68" spans="1:40" x14ac:dyDescent="0.35">
      <c r="A68" s="26">
        <v>9</v>
      </c>
      <c r="B68" s="26">
        <v>2025</v>
      </c>
      <c r="C68" s="26" t="s">
        <v>165</v>
      </c>
      <c r="D68" s="26" t="s">
        <v>166</v>
      </c>
      <c r="E68" s="26" t="s">
        <v>225</v>
      </c>
      <c r="F68" s="26" t="s">
        <v>308</v>
      </c>
      <c r="G68" s="26" t="s">
        <v>60</v>
      </c>
      <c r="H68" s="26" t="s">
        <v>176</v>
      </c>
      <c r="I68" s="26" t="s">
        <v>177</v>
      </c>
      <c r="J68" s="31" t="s">
        <v>9</v>
      </c>
      <c r="K68" s="26" t="s">
        <v>171</v>
      </c>
      <c r="L68" s="26" t="s">
        <v>178</v>
      </c>
      <c r="M68" s="26" t="s">
        <v>173</v>
      </c>
      <c r="N68" s="26">
        <v>5000</v>
      </c>
      <c r="O68" s="26">
        <v>6</v>
      </c>
      <c r="P68" s="27">
        <v>1701000</v>
      </c>
      <c r="Q68" s="27" t="s">
        <v>183</v>
      </c>
      <c r="R68" s="28">
        <v>1450000</v>
      </c>
      <c r="S68" s="29">
        <v>10206000</v>
      </c>
      <c r="T68" s="29">
        <f t="shared" si="2"/>
        <v>8700000</v>
      </c>
      <c r="U68" s="30">
        <v>0.36</v>
      </c>
      <c r="V68" s="26" t="s">
        <v>309</v>
      </c>
      <c r="W68" s="31">
        <v>6</v>
      </c>
      <c r="X68" s="28">
        <f t="shared" si="3"/>
        <v>4350000</v>
      </c>
      <c r="Y68" s="32">
        <f>VLOOKUP(Q68,'[3]DATA VALID'!M:O,3,FALSE)</f>
        <v>0.1</v>
      </c>
      <c r="Z68" s="33">
        <f>(R68-VLOOKUP(J68,'[3]DATA VALID'!G:K,5,FALSE))/R68-Y68*1.24</f>
        <v>0.45095172413793105</v>
      </c>
      <c r="AA68" s="33"/>
      <c r="AB68" s="33"/>
      <c r="AC68" s="33"/>
      <c r="AD68" s="33"/>
      <c r="AE68" s="34"/>
      <c r="AF68" s="34"/>
      <c r="AG68" s="34">
        <f>ROUNDUP(Table2[[#This Row],[ Số lượng trúng thầu ]]*Table2[[#This Row],[Số tháng phát sinh]]/12/Table2[[#This Row],[Số tháng phát sinh]],0)</f>
        <v>1</v>
      </c>
      <c r="AH68" s="34">
        <f>ROUNDUP(Table2[[#This Row],[ Số lượng trúng thầu ]]*Table2[[#This Row],[Số tháng phát sinh]]/12/Table2[[#This Row],[Số tháng phát sinh]],0)</f>
        <v>1</v>
      </c>
      <c r="AI68" s="34">
        <f>ROUNDUP(Table2[[#This Row],[ Số lượng trúng thầu ]]*Table2[[#This Row],[Số tháng phát sinh]]/12/Table2[[#This Row],[Số tháng phát sinh]],0)</f>
        <v>1</v>
      </c>
      <c r="AJ68" s="34">
        <f>ROUNDUP(Table2[[#This Row],[ Số lượng trúng thầu ]]*Table2[[#This Row],[Số tháng phát sinh]]/12/Table2[[#This Row],[Số tháng phát sinh]],0)</f>
        <v>1</v>
      </c>
      <c r="AK68" s="34">
        <f>ROUNDUP(Table2[[#This Row],[ Số lượng trúng thầu ]]*Table2[[#This Row],[Số tháng phát sinh]]/12/Table2[[#This Row],[Số tháng phát sinh]],0)</f>
        <v>1</v>
      </c>
      <c r="AL68" s="34">
        <f>ROUNDUP(Table2[[#This Row],[ Số lượng trúng thầu ]]*Table2[[#This Row],[Số tháng phát sinh]]/12/Table2[[#This Row],[Số tháng phát sinh]],0)</f>
        <v>1</v>
      </c>
      <c r="AM68" s="34">
        <f>ROUNDUP(Table2[[#This Row],[ Số lượng trúng thầu ]]*Table2[[#This Row],[Số tháng phát sinh]]/12/Table2[[#This Row],[Số tháng phát sinh]],0)</f>
        <v>1</v>
      </c>
      <c r="AN68" s="34">
        <f>ROUNDUP(Table2[[#This Row],[ Số lượng trúng thầu ]]*Table2[[#This Row],[Số tháng phát sinh]]/12/Table2[[#This Row],[Số tháng phát sinh]],0)</f>
        <v>1</v>
      </c>
    </row>
    <row r="69" spans="1:40" x14ac:dyDescent="0.35">
      <c r="A69" s="26">
        <v>10</v>
      </c>
      <c r="B69" s="26">
        <v>2025</v>
      </c>
      <c r="C69" s="26" t="s">
        <v>165</v>
      </c>
      <c r="D69" s="26" t="s">
        <v>166</v>
      </c>
      <c r="E69" s="26" t="s">
        <v>167</v>
      </c>
      <c r="F69" s="26" t="s">
        <v>310</v>
      </c>
      <c r="G69" s="26" t="s">
        <v>61</v>
      </c>
      <c r="H69" s="26" t="s">
        <v>176</v>
      </c>
      <c r="I69" s="26" t="s">
        <v>177</v>
      </c>
      <c r="J69" s="31" t="s">
        <v>12</v>
      </c>
      <c r="K69" s="26" t="s">
        <v>171</v>
      </c>
      <c r="L69" s="26" t="s">
        <v>178</v>
      </c>
      <c r="M69" s="26" t="s">
        <v>173</v>
      </c>
      <c r="N69" s="26">
        <v>1000</v>
      </c>
      <c r="O69" s="26">
        <v>2</v>
      </c>
      <c r="P69" s="27">
        <v>481000</v>
      </c>
      <c r="Q69" s="27" t="s">
        <v>174</v>
      </c>
      <c r="R69" s="27">
        <v>268800</v>
      </c>
      <c r="S69" s="29">
        <v>962000</v>
      </c>
      <c r="T69" s="29">
        <f t="shared" si="2"/>
        <v>537600</v>
      </c>
      <c r="U69" s="30">
        <v>0.04</v>
      </c>
      <c r="V69" s="26" t="s">
        <v>210</v>
      </c>
      <c r="W69" s="31">
        <v>5</v>
      </c>
      <c r="X69" s="28">
        <f t="shared" si="3"/>
        <v>224000</v>
      </c>
      <c r="Y69" s="32">
        <f>VLOOKUP(Q69,'[3]DATA VALID'!M:O,3,FALSE)</f>
        <v>0</v>
      </c>
      <c r="Z69" s="33">
        <f>(R69-VLOOKUP(J69,'[3]DATA VALID'!G:K,5,FALSE))/R69-Y69*1.24</f>
        <v>0.49007812499999998</v>
      </c>
      <c r="AA69" s="33"/>
      <c r="AB69" s="33"/>
      <c r="AC69" s="33"/>
      <c r="AD69" s="33"/>
      <c r="AE69" s="34"/>
      <c r="AF69" s="34"/>
      <c r="AG69" s="34"/>
      <c r="AH69" s="34">
        <f>ROUNDUP(Table2[[#This Row],[ Số lượng trúng thầu ]]*Table2[[#This Row],[Số tháng phát sinh]]/12/Table2[[#This Row],[Số tháng phát sinh]],0)</f>
        <v>1</v>
      </c>
      <c r="AI69" s="34">
        <f>ROUNDUP(Table2[[#This Row],[ Số lượng trúng thầu ]]*Table2[[#This Row],[Số tháng phát sinh]]/12/Table2[[#This Row],[Số tháng phát sinh]],0)</f>
        <v>1</v>
      </c>
      <c r="AJ69" s="34">
        <f>ROUNDUP(Table2[[#This Row],[ Số lượng trúng thầu ]]*Table2[[#This Row],[Số tháng phát sinh]]/12/Table2[[#This Row],[Số tháng phát sinh]],0)</f>
        <v>1</v>
      </c>
      <c r="AK69" s="34">
        <f>ROUNDUP(Table2[[#This Row],[ Số lượng trúng thầu ]]*Table2[[#This Row],[Số tháng phát sinh]]/12/Table2[[#This Row],[Số tháng phát sinh]],0)</f>
        <v>1</v>
      </c>
      <c r="AL69" s="34">
        <f>ROUNDUP(Table2[[#This Row],[ Số lượng trúng thầu ]]*Table2[[#This Row],[Số tháng phát sinh]]/12/Table2[[#This Row],[Số tháng phát sinh]],0)</f>
        <v>1</v>
      </c>
      <c r="AM69" s="34">
        <f>ROUNDUP(Table2[[#This Row],[ Số lượng trúng thầu ]]*Table2[[#This Row],[Số tháng phát sinh]]/12/Table2[[#This Row],[Số tháng phát sinh]],0)</f>
        <v>1</v>
      </c>
      <c r="AN69" s="34">
        <f>ROUNDUP(Table2[[#This Row],[ Số lượng trúng thầu ]]*Table2[[#This Row],[Số tháng phát sinh]]/12/Table2[[#This Row],[Số tháng phát sinh]],0)</f>
        <v>1</v>
      </c>
    </row>
    <row r="70" spans="1:40" x14ac:dyDescent="0.35">
      <c r="A70" s="26">
        <v>10</v>
      </c>
      <c r="B70" s="26">
        <v>2025</v>
      </c>
      <c r="C70" s="26" t="s">
        <v>165</v>
      </c>
      <c r="D70" s="26" t="s">
        <v>166</v>
      </c>
      <c r="E70" s="26" t="s">
        <v>167</v>
      </c>
      <c r="F70" s="26" t="s">
        <v>310</v>
      </c>
      <c r="G70" s="26" t="s">
        <v>61</v>
      </c>
      <c r="H70" s="26" t="s">
        <v>176</v>
      </c>
      <c r="I70" s="26" t="s">
        <v>177</v>
      </c>
      <c r="J70" s="31" t="s">
        <v>9</v>
      </c>
      <c r="K70" s="26" t="s">
        <v>171</v>
      </c>
      <c r="L70" s="26" t="s">
        <v>178</v>
      </c>
      <c r="M70" s="26" t="s">
        <v>173</v>
      </c>
      <c r="N70" s="26">
        <v>5000</v>
      </c>
      <c r="O70" s="26">
        <v>5</v>
      </c>
      <c r="P70" s="27">
        <v>1960000</v>
      </c>
      <c r="Q70" s="27" t="s">
        <v>174</v>
      </c>
      <c r="R70" s="27">
        <v>1218000</v>
      </c>
      <c r="S70" s="29">
        <v>9800000</v>
      </c>
      <c r="T70" s="29">
        <f t="shared" si="2"/>
        <v>6090000</v>
      </c>
      <c r="U70" s="30">
        <v>0.4</v>
      </c>
      <c r="V70" s="26" t="s">
        <v>210</v>
      </c>
      <c r="W70" s="31">
        <v>5</v>
      </c>
      <c r="X70" s="28">
        <f t="shared" si="3"/>
        <v>2537500</v>
      </c>
      <c r="Y70" s="32">
        <f>VLOOKUP(Q70,'[3]DATA VALID'!M:O,3,FALSE)</f>
        <v>0</v>
      </c>
      <c r="Z70" s="33">
        <f>(R70-VLOOKUP(J70,'[3]DATA VALID'!G:K,5,FALSE))/R70-Y70*1.24</f>
        <v>0.49399014778325123</v>
      </c>
      <c r="AA70" s="33"/>
      <c r="AB70" s="33"/>
      <c r="AC70" s="33"/>
      <c r="AD70" s="33"/>
      <c r="AE70" s="34"/>
      <c r="AF70" s="34"/>
      <c r="AG70" s="34"/>
      <c r="AH70" s="34">
        <f>ROUNDUP(Table2[[#This Row],[ Số lượng trúng thầu ]]*Table2[[#This Row],[Số tháng phát sinh]]/12/Table2[[#This Row],[Số tháng phát sinh]],0)</f>
        <v>1</v>
      </c>
      <c r="AI70" s="34">
        <f>ROUNDUP(Table2[[#This Row],[ Số lượng trúng thầu ]]*Table2[[#This Row],[Số tháng phát sinh]]/12/Table2[[#This Row],[Số tháng phát sinh]],0)</f>
        <v>1</v>
      </c>
      <c r="AJ70" s="34">
        <f>ROUNDUP(Table2[[#This Row],[ Số lượng trúng thầu ]]*Table2[[#This Row],[Số tháng phát sinh]]/12/Table2[[#This Row],[Số tháng phát sinh]],0)</f>
        <v>1</v>
      </c>
      <c r="AK70" s="34">
        <f>ROUNDUP(Table2[[#This Row],[ Số lượng trúng thầu ]]*Table2[[#This Row],[Số tháng phát sinh]]/12/Table2[[#This Row],[Số tháng phát sinh]],0)</f>
        <v>1</v>
      </c>
      <c r="AL70" s="34">
        <f>ROUNDUP(Table2[[#This Row],[ Số lượng trúng thầu ]]*Table2[[#This Row],[Số tháng phát sinh]]/12/Table2[[#This Row],[Số tháng phát sinh]],0)</f>
        <v>1</v>
      </c>
      <c r="AM70" s="34">
        <f>ROUNDUP(Table2[[#This Row],[ Số lượng trúng thầu ]]*Table2[[#This Row],[Số tháng phát sinh]]/12/Table2[[#This Row],[Số tháng phát sinh]],0)</f>
        <v>1</v>
      </c>
      <c r="AN70" s="34">
        <f>ROUNDUP(Table2[[#This Row],[ Số lượng trúng thầu ]]*Table2[[#This Row],[Số tháng phát sinh]]/12/Table2[[#This Row],[Số tháng phát sinh]],0)</f>
        <v>1</v>
      </c>
    </row>
    <row r="71" spans="1:40" x14ac:dyDescent="0.35">
      <c r="A71" s="26">
        <v>6</v>
      </c>
      <c r="B71" s="26">
        <v>2025</v>
      </c>
      <c r="C71" s="26" t="s">
        <v>165</v>
      </c>
      <c r="D71" s="26" t="s">
        <v>166</v>
      </c>
      <c r="E71" s="26" t="s">
        <v>311</v>
      </c>
      <c r="F71" s="26" t="s">
        <v>312</v>
      </c>
      <c r="G71" s="26" t="s">
        <v>31</v>
      </c>
      <c r="H71" s="26" t="s">
        <v>176</v>
      </c>
      <c r="I71" s="26" t="s">
        <v>185</v>
      </c>
      <c r="J71" s="26" t="str">
        <f>VLOOKUP(I71,'[3]DATA VALID'!A:B,2,FALSE)</f>
        <v>Exeol wipe optimal</v>
      </c>
      <c r="K71" s="26" t="s">
        <v>186</v>
      </c>
      <c r="L71" s="26" t="s">
        <v>187</v>
      </c>
      <c r="M71" s="26" t="s">
        <v>173</v>
      </c>
      <c r="N71" s="26">
        <v>100</v>
      </c>
      <c r="O71" s="26">
        <v>100</v>
      </c>
      <c r="P71" s="27">
        <v>305000</v>
      </c>
      <c r="Q71" s="27" t="s">
        <v>183</v>
      </c>
      <c r="R71" s="28">
        <v>245000</v>
      </c>
      <c r="S71" s="29">
        <v>30500000</v>
      </c>
      <c r="T71" s="29">
        <f t="shared" si="2"/>
        <v>24500000</v>
      </c>
      <c r="U71" s="30">
        <v>0.02</v>
      </c>
      <c r="V71" s="26" t="s">
        <v>313</v>
      </c>
      <c r="W71" s="31">
        <v>9</v>
      </c>
      <c r="X71" s="28">
        <f t="shared" si="3"/>
        <v>18375000</v>
      </c>
      <c r="Y71" s="32">
        <f>VLOOKUP(Q71,'[3]DATA VALID'!M:O,3,FALSE)</f>
        <v>0.1</v>
      </c>
      <c r="Z71" s="33">
        <f>(R71-VLOOKUP(J71,'[3]DATA VALID'!G:K,5,FALSE))/R71-Y71*1.24</f>
        <v>0.36423428571428568</v>
      </c>
      <c r="AA71" s="33"/>
      <c r="AB71" s="33"/>
      <c r="AC71" s="33"/>
      <c r="AD71" s="33"/>
      <c r="AE71" s="34">
        <f>ROUNDUP(Table2[[#This Row],[ Số lượng trúng thầu ]]*Table2[[#This Row],[Số tháng phát sinh]]/12/9,0)</f>
        <v>9</v>
      </c>
      <c r="AF71" s="34">
        <f>ROUNDUP(Table2[[#This Row],[ Số lượng trúng thầu ]]*Table2[[#This Row],[Số tháng phát sinh]]/12/9,0)</f>
        <v>9</v>
      </c>
      <c r="AG71" s="34">
        <f>ROUNDUP(Table2[[#This Row],[ Số lượng trúng thầu ]]*Table2[[#This Row],[Số tháng phát sinh]]/12/9,0)</f>
        <v>9</v>
      </c>
      <c r="AH71" s="34">
        <f>ROUNDUP(Table2[[#This Row],[ Số lượng trúng thầu ]]*Table2[[#This Row],[Số tháng phát sinh]]/12/9,0)</f>
        <v>9</v>
      </c>
      <c r="AI71" s="34">
        <f>ROUNDUP(Table2[[#This Row],[ Số lượng trúng thầu ]]*Table2[[#This Row],[Số tháng phát sinh]]/12/9,0)</f>
        <v>9</v>
      </c>
      <c r="AJ71" s="34">
        <f>ROUNDUP(Table2[[#This Row],[ Số lượng trúng thầu ]]*Table2[[#This Row],[Số tháng phát sinh]]/12/9,0)</f>
        <v>9</v>
      </c>
      <c r="AK71" s="34">
        <f>ROUNDUP(Table2[[#This Row],[ Số lượng trúng thầu ]]*Table2[[#This Row],[Số tháng phát sinh]]/12/9,0)</f>
        <v>9</v>
      </c>
      <c r="AL71" s="34">
        <f>ROUNDUP(Table2[[#This Row],[ Số lượng trúng thầu ]]*Table2[[#This Row],[Số tháng phát sinh]]/12/9,0)</f>
        <v>9</v>
      </c>
      <c r="AM71" s="34">
        <f>ROUNDUP(Table2[[#This Row],[ Số lượng trúng thầu ]]*Table2[[#This Row],[Số tháng phát sinh]]/12/9,0)</f>
        <v>9</v>
      </c>
      <c r="AN71" s="34">
        <f>ROUNDUP(Table2[[#This Row],[ Số lượng trúng thầu ]]*Table2[[#This Row],[Số tháng phát sinh]]/12/9,0)</f>
        <v>9</v>
      </c>
    </row>
    <row r="72" spans="1:40" x14ac:dyDescent="0.35">
      <c r="A72" s="26">
        <v>6</v>
      </c>
      <c r="B72" s="26">
        <v>2025</v>
      </c>
      <c r="C72" s="26" t="s">
        <v>165</v>
      </c>
      <c r="D72" s="26" t="s">
        <v>166</v>
      </c>
      <c r="E72" s="26" t="s">
        <v>180</v>
      </c>
      <c r="F72" s="26" t="s">
        <v>314</v>
      </c>
      <c r="G72" s="26" t="s">
        <v>53</v>
      </c>
      <c r="H72" s="26" t="s">
        <v>176</v>
      </c>
      <c r="I72" s="26" t="s">
        <v>315</v>
      </c>
      <c r="J72" s="31" t="s">
        <v>8</v>
      </c>
      <c r="K72" s="26" t="s">
        <v>186</v>
      </c>
      <c r="L72" s="26" t="s">
        <v>200</v>
      </c>
      <c r="M72" s="26" t="s">
        <v>173</v>
      </c>
      <c r="N72" s="26">
        <v>1000</v>
      </c>
      <c r="O72" s="26">
        <v>765000</v>
      </c>
      <c r="P72" s="26">
        <v>290</v>
      </c>
      <c r="Q72" s="26" t="s">
        <v>183</v>
      </c>
      <c r="R72" s="28">
        <v>260</v>
      </c>
      <c r="S72" s="29">
        <v>221850000</v>
      </c>
      <c r="T72" s="29">
        <f t="shared" si="2"/>
        <v>198900000</v>
      </c>
      <c r="U72" s="30">
        <v>0.53</v>
      </c>
      <c r="V72" s="26" t="s">
        <v>316</v>
      </c>
      <c r="W72" s="31">
        <v>9</v>
      </c>
      <c r="X72" s="28">
        <f t="shared" si="3"/>
        <v>149175000</v>
      </c>
      <c r="Y72" s="32">
        <f>VLOOKUP(Q72,'[3]DATA VALID'!M:O,3,FALSE)</f>
        <v>0.1</v>
      </c>
      <c r="Z72" s="33">
        <f>(R72*1000-VLOOKUP(J72,'[3]DATA VALID'!G:K,5,FALSE))/(R72*1000)-Y72*1.24</f>
        <v>0.39375923076923069</v>
      </c>
      <c r="AA72" s="33"/>
      <c r="AB72" s="33"/>
      <c r="AC72" s="33"/>
      <c r="AD72" s="33"/>
      <c r="AE72" s="34">
        <f>ROUNDUP(Table2[[#This Row],[ Số lượng trúng thầu ]]*Table2[[#This Row],[Số tháng phát sinh]]/12/9/1000,0)</f>
        <v>64</v>
      </c>
      <c r="AF72" s="34">
        <f>ROUNDUP(Table2[[#This Row],[ Số lượng trúng thầu ]]*Table2[[#This Row],[Số tháng phát sinh]]/12/9/1000,0)</f>
        <v>64</v>
      </c>
      <c r="AG72" s="34">
        <f>ROUNDUP(Table2[[#This Row],[ Số lượng trúng thầu ]]*Table2[[#This Row],[Số tháng phát sinh]]/12/9/1000,0)</f>
        <v>64</v>
      </c>
      <c r="AH72" s="34">
        <f>ROUNDUP(Table2[[#This Row],[ Số lượng trúng thầu ]]*Table2[[#This Row],[Số tháng phát sinh]]/12/9/1000,0)</f>
        <v>64</v>
      </c>
      <c r="AI72" s="34">
        <f>ROUNDUP(Table2[[#This Row],[ Số lượng trúng thầu ]]*Table2[[#This Row],[Số tháng phát sinh]]/12/9/1000,0)</f>
        <v>64</v>
      </c>
      <c r="AJ72" s="34">
        <f>ROUNDUP(Table2[[#This Row],[ Số lượng trúng thầu ]]*Table2[[#This Row],[Số tháng phát sinh]]/12/9/1000,0)</f>
        <v>64</v>
      </c>
      <c r="AK72" s="34">
        <f>ROUNDUP(Table2[[#This Row],[ Số lượng trúng thầu ]]*Table2[[#This Row],[Số tháng phát sinh]]/12/9/1000,0)</f>
        <v>64</v>
      </c>
      <c r="AL72" s="34">
        <f>ROUNDUP(Table2[[#This Row],[ Số lượng trúng thầu ]]*Table2[[#This Row],[Số tháng phát sinh]]/12/9/1000,0)</f>
        <v>64</v>
      </c>
      <c r="AM72" s="34">
        <f>ROUNDUP(Table2[[#This Row],[ Số lượng trúng thầu ]]*Table2[[#This Row],[Số tháng phát sinh]]/12/9/1000,0)</f>
        <v>64</v>
      </c>
      <c r="AN72" s="34">
        <f>ROUNDUP(Table2[[#This Row],[ Số lượng trúng thầu ]]*Table2[[#This Row],[Số tháng phát sinh]]/12/9/1000,0)</f>
        <v>64</v>
      </c>
    </row>
    <row r="73" spans="1:40" x14ac:dyDescent="0.35">
      <c r="A73" s="26">
        <v>10</v>
      </c>
      <c r="B73" s="26">
        <v>2025</v>
      </c>
      <c r="C73" s="26" t="s">
        <v>165</v>
      </c>
      <c r="D73" s="26" t="s">
        <v>166</v>
      </c>
      <c r="E73" s="26" t="s">
        <v>311</v>
      </c>
      <c r="F73" s="26" t="s">
        <v>317</v>
      </c>
      <c r="G73" s="26" t="s">
        <v>66</v>
      </c>
      <c r="H73" s="26" t="s">
        <v>176</v>
      </c>
      <c r="I73" s="26" t="s">
        <v>199</v>
      </c>
      <c r="J73" s="31" t="s">
        <v>15</v>
      </c>
      <c r="K73" s="26" t="s">
        <v>186</v>
      </c>
      <c r="L73" s="26" t="s">
        <v>200</v>
      </c>
      <c r="M73" s="26" t="s">
        <v>173</v>
      </c>
      <c r="N73" s="26">
        <v>5000</v>
      </c>
      <c r="O73" s="26">
        <v>60</v>
      </c>
      <c r="P73" s="27">
        <v>1282000</v>
      </c>
      <c r="Q73" s="27" t="s">
        <v>183</v>
      </c>
      <c r="R73" s="28">
        <v>1100000</v>
      </c>
      <c r="S73" s="29">
        <v>76920000</v>
      </c>
      <c r="T73" s="29">
        <f t="shared" si="2"/>
        <v>66000000</v>
      </c>
      <c r="U73" s="30">
        <v>0.1</v>
      </c>
      <c r="V73" s="26" t="s">
        <v>210</v>
      </c>
      <c r="W73" s="31">
        <v>5</v>
      </c>
      <c r="X73" s="28">
        <f t="shared" si="3"/>
        <v>27500000</v>
      </c>
      <c r="Y73" s="32">
        <f>VLOOKUP(Q73,'[3]DATA VALID'!M:O,3,FALSE)</f>
        <v>0.1</v>
      </c>
      <c r="Z73" s="33">
        <f>(R73-VLOOKUP(J73,'[3]DATA VALID'!G:K,5,FALSE))/R73-Y73*1.24</f>
        <v>0.56200363636363637</v>
      </c>
      <c r="AA73" s="33"/>
      <c r="AB73" s="33"/>
      <c r="AC73" s="33"/>
      <c r="AD73" s="33"/>
      <c r="AE73" s="34"/>
      <c r="AF73" s="34"/>
      <c r="AG73" s="34"/>
      <c r="AH73" s="34">
        <f>ROUNDUP(Table2[[#This Row],[ Số lượng trúng thầu ]]*Table2[[#This Row],[Số tháng phát sinh]]/12/Table2[[#This Row],[Số tháng phát sinh]],0)</f>
        <v>5</v>
      </c>
      <c r="AI73" s="34">
        <f>ROUNDUP(Table2[[#This Row],[ Số lượng trúng thầu ]]*Table2[[#This Row],[Số tháng phát sinh]]/12/Table2[[#This Row],[Số tháng phát sinh]],0)</f>
        <v>5</v>
      </c>
      <c r="AJ73" s="34">
        <f>ROUNDUP(Table2[[#This Row],[ Số lượng trúng thầu ]]*Table2[[#This Row],[Số tháng phát sinh]]/12/Table2[[#This Row],[Số tháng phát sinh]],0)</f>
        <v>5</v>
      </c>
      <c r="AK73" s="34">
        <f>ROUNDUP(Table2[[#This Row],[ Số lượng trúng thầu ]]*Table2[[#This Row],[Số tháng phát sinh]]/12/Table2[[#This Row],[Số tháng phát sinh]],0)</f>
        <v>5</v>
      </c>
      <c r="AL73" s="34">
        <f>ROUNDUP(Table2[[#This Row],[ Số lượng trúng thầu ]]*Table2[[#This Row],[Số tháng phát sinh]]/12/Table2[[#This Row],[Số tháng phát sinh]],0)</f>
        <v>5</v>
      </c>
      <c r="AM73" s="34">
        <f>ROUNDUP(Table2[[#This Row],[ Số lượng trúng thầu ]]*Table2[[#This Row],[Số tháng phát sinh]]/12/Table2[[#This Row],[Số tháng phát sinh]],0)</f>
        <v>5</v>
      </c>
      <c r="AN73" s="34">
        <f>ROUNDUP(Table2[[#This Row],[ Số lượng trúng thầu ]]*Table2[[#This Row],[Số tháng phát sinh]]/12/Table2[[#This Row],[Số tháng phát sinh]],0)</f>
        <v>5</v>
      </c>
    </row>
    <row r="74" spans="1:40" x14ac:dyDescent="0.35">
      <c r="A74" s="26">
        <v>11</v>
      </c>
      <c r="B74" s="26">
        <v>2025</v>
      </c>
      <c r="C74" s="26" t="s">
        <v>165</v>
      </c>
      <c r="D74" s="26" t="s">
        <v>189</v>
      </c>
      <c r="E74" s="26" t="s">
        <v>208</v>
      </c>
      <c r="F74" s="26" t="s">
        <v>318</v>
      </c>
      <c r="G74" s="26" t="s">
        <v>50</v>
      </c>
      <c r="H74" s="26" t="s">
        <v>176</v>
      </c>
      <c r="I74" s="26" t="s">
        <v>191</v>
      </c>
      <c r="J74" s="26" t="s">
        <v>11</v>
      </c>
      <c r="K74" s="26" t="s">
        <v>171</v>
      </c>
      <c r="L74" s="26" t="s">
        <v>172</v>
      </c>
      <c r="M74" s="26" t="s">
        <v>173</v>
      </c>
      <c r="N74" s="26">
        <v>5000</v>
      </c>
      <c r="O74" s="26">
        <v>350</v>
      </c>
      <c r="P74" s="27">
        <v>460000</v>
      </c>
      <c r="Q74" s="27" t="s">
        <v>183</v>
      </c>
      <c r="R74" s="28">
        <v>428925</v>
      </c>
      <c r="S74" s="29">
        <v>161000000</v>
      </c>
      <c r="T74" s="29">
        <f t="shared" si="2"/>
        <v>150123750</v>
      </c>
      <c r="U74" s="30">
        <v>0.61</v>
      </c>
      <c r="V74" s="26" t="s">
        <v>319</v>
      </c>
      <c r="W74" s="31">
        <v>4</v>
      </c>
      <c r="X74" s="28">
        <f t="shared" si="3"/>
        <v>50041250</v>
      </c>
      <c r="Y74" s="32">
        <f>VLOOKUP(Q74,'[3]DATA VALID'!M:O,3,FALSE)</f>
        <v>0.1</v>
      </c>
      <c r="Z74" s="33">
        <f>(R74-VLOOKUP(J74,'[3]DATA VALID'!G:K,5,FALSE))/R74-Y74*1.24</f>
        <v>0.42921559713236579</v>
      </c>
      <c r="AA74" s="33"/>
      <c r="AB74" s="33"/>
      <c r="AC74" s="33"/>
      <c r="AD74" s="33"/>
      <c r="AE74" s="34"/>
      <c r="AF74" s="34"/>
      <c r="AG74" s="34"/>
      <c r="AH74" s="34"/>
      <c r="AI74" s="34">
        <f>ROUNDUP(Table2[[#This Row],[ Số lượng trúng thầu ]]*Table2[[#This Row],[Số tháng phát sinh]]/12/Table2[[#This Row],[Số tháng phát sinh]],0)</f>
        <v>30</v>
      </c>
      <c r="AJ74" s="34">
        <f>ROUNDUP(Table2[[#This Row],[ Số lượng trúng thầu ]]*Table2[[#This Row],[Số tháng phát sinh]]/12/Table2[[#This Row],[Số tháng phát sinh]],0)</f>
        <v>30</v>
      </c>
      <c r="AK74" s="34">
        <f>ROUNDUP(Table2[[#This Row],[ Số lượng trúng thầu ]]*Table2[[#This Row],[Số tháng phát sinh]]/12/Table2[[#This Row],[Số tháng phát sinh]],0)</f>
        <v>30</v>
      </c>
      <c r="AL74" s="34">
        <f>ROUNDUP(Table2[[#This Row],[ Số lượng trúng thầu ]]*Table2[[#This Row],[Số tháng phát sinh]]/12/Table2[[#This Row],[Số tháng phát sinh]],0)</f>
        <v>30</v>
      </c>
      <c r="AM74" s="34">
        <f>ROUNDUP(Table2[[#This Row],[ Số lượng trúng thầu ]]*Table2[[#This Row],[Số tháng phát sinh]]/12/Table2[[#This Row],[Số tháng phát sinh]],0)</f>
        <v>30</v>
      </c>
      <c r="AN74" s="34">
        <f>ROUNDUP(Table2[[#This Row],[ Số lượng trúng thầu ]]*Table2[[#This Row],[Số tháng phát sinh]]/12/Table2[[#This Row],[Số tháng phát sinh]],0)</f>
        <v>30</v>
      </c>
    </row>
    <row r="75" spans="1:40" x14ac:dyDescent="0.35">
      <c r="A75" s="26">
        <v>11</v>
      </c>
      <c r="B75" s="26">
        <v>2025</v>
      </c>
      <c r="C75" s="26" t="s">
        <v>165</v>
      </c>
      <c r="D75" s="26" t="s">
        <v>189</v>
      </c>
      <c r="E75" s="26" t="s">
        <v>208</v>
      </c>
      <c r="F75" s="26" t="s">
        <v>318</v>
      </c>
      <c r="G75" s="26" t="s">
        <v>50</v>
      </c>
      <c r="H75" s="26" t="s">
        <v>176</v>
      </c>
      <c r="I75" s="26" t="s">
        <v>209</v>
      </c>
      <c r="J75" s="31" t="s">
        <v>6</v>
      </c>
      <c r="K75" s="26" t="s">
        <v>171</v>
      </c>
      <c r="L75" s="26" t="s">
        <v>178</v>
      </c>
      <c r="M75" s="26" t="s">
        <v>173</v>
      </c>
      <c r="N75" s="26">
        <v>1000</v>
      </c>
      <c r="O75" s="26">
        <v>10</v>
      </c>
      <c r="P75" s="27">
        <v>560000</v>
      </c>
      <c r="Q75" s="27" t="s">
        <v>183</v>
      </c>
      <c r="R75" s="28">
        <v>440000</v>
      </c>
      <c r="S75" s="29">
        <v>5600000</v>
      </c>
      <c r="T75" s="29">
        <f t="shared" si="2"/>
        <v>4400000</v>
      </c>
      <c r="U75" s="30">
        <v>0.02</v>
      </c>
      <c r="V75" s="26" t="s">
        <v>320</v>
      </c>
      <c r="W75" s="31">
        <v>4</v>
      </c>
      <c r="X75" s="28">
        <f t="shared" si="3"/>
        <v>1466666.6666666667</v>
      </c>
      <c r="Y75" s="32">
        <f>VLOOKUP(Q75,'[3]DATA VALID'!M:O,3,FALSE)</f>
        <v>0.1</v>
      </c>
      <c r="Z75" s="33">
        <f>(R75-VLOOKUP(J75,'[3]DATA VALID'!G:K,5,FALSE))/R75-Y75*1.24</f>
        <v>0.40493249999999992</v>
      </c>
      <c r="AA75" s="33"/>
      <c r="AB75" s="33"/>
      <c r="AC75" s="33"/>
      <c r="AD75" s="33"/>
      <c r="AE75" s="34"/>
      <c r="AF75" s="34"/>
      <c r="AG75" s="34"/>
      <c r="AH75" s="34"/>
      <c r="AI75" s="34">
        <f>ROUNDUP(Table2[[#This Row],[ Số lượng trúng thầu ]]*Table2[[#This Row],[Số tháng phát sinh]]/12/Table2[[#This Row],[Số tháng phát sinh]],0)</f>
        <v>1</v>
      </c>
      <c r="AJ75" s="34">
        <f>ROUNDUP(Table2[[#This Row],[ Số lượng trúng thầu ]]*Table2[[#This Row],[Số tháng phát sinh]]/12/Table2[[#This Row],[Số tháng phát sinh]],0)</f>
        <v>1</v>
      </c>
      <c r="AK75" s="34">
        <f>ROUNDUP(Table2[[#This Row],[ Số lượng trúng thầu ]]*Table2[[#This Row],[Số tháng phát sinh]]/12/Table2[[#This Row],[Số tháng phát sinh]],0)</f>
        <v>1</v>
      </c>
      <c r="AL75" s="34">
        <f>ROUNDUP(Table2[[#This Row],[ Số lượng trúng thầu ]]*Table2[[#This Row],[Số tháng phát sinh]]/12/Table2[[#This Row],[Số tháng phát sinh]],0)</f>
        <v>1</v>
      </c>
      <c r="AM75" s="34">
        <f>ROUNDUP(Table2[[#This Row],[ Số lượng trúng thầu ]]*Table2[[#This Row],[Số tháng phát sinh]]/12/Table2[[#This Row],[Số tháng phát sinh]],0)</f>
        <v>1</v>
      </c>
      <c r="AN75" s="34">
        <f>ROUNDUP(Table2[[#This Row],[ Số lượng trúng thầu ]]*Table2[[#This Row],[Số tháng phát sinh]]/12/Table2[[#This Row],[Số tháng phát sinh]],0)</f>
        <v>1</v>
      </c>
    </row>
    <row r="76" spans="1:40" x14ac:dyDescent="0.35">
      <c r="A76" s="26">
        <v>10</v>
      </c>
      <c r="B76" s="26">
        <v>2025</v>
      </c>
      <c r="C76" s="26" t="s">
        <v>165</v>
      </c>
      <c r="D76" s="26" t="s">
        <v>189</v>
      </c>
      <c r="E76" s="26" t="s">
        <v>208</v>
      </c>
      <c r="F76" s="26" t="s">
        <v>321</v>
      </c>
      <c r="G76" s="26" t="s">
        <v>29</v>
      </c>
      <c r="H76" s="26" t="s">
        <v>176</v>
      </c>
      <c r="I76" s="26" t="s">
        <v>246</v>
      </c>
      <c r="J76" s="26" t="s">
        <v>11</v>
      </c>
      <c r="K76" s="26" t="s">
        <v>171</v>
      </c>
      <c r="L76" s="26" t="s">
        <v>172</v>
      </c>
      <c r="M76" s="26" t="s">
        <v>173</v>
      </c>
      <c r="N76" s="26">
        <v>1000</v>
      </c>
      <c r="O76" s="26">
        <v>160</v>
      </c>
      <c r="P76" s="27">
        <v>98500</v>
      </c>
      <c r="Q76" s="27" t="s">
        <v>183</v>
      </c>
      <c r="R76" s="28">
        <f>428925/5</f>
        <v>85785</v>
      </c>
      <c r="S76" s="29">
        <v>15760000</v>
      </c>
      <c r="T76" s="29">
        <f t="shared" si="2"/>
        <v>13725600</v>
      </c>
      <c r="U76" s="30">
        <v>0.19</v>
      </c>
      <c r="V76" s="26" t="s">
        <v>230</v>
      </c>
      <c r="W76" s="31">
        <v>5</v>
      </c>
      <c r="X76" s="28">
        <f t="shared" si="3"/>
        <v>5719000</v>
      </c>
      <c r="Y76" s="32">
        <f>VLOOKUP(Q76,'[3]DATA VALID'!M:O,3,FALSE)</f>
        <v>0.1</v>
      </c>
      <c r="Z76" s="33">
        <f>(R76*5-VLOOKUP(J76,'[3]DATA VALID'!G:K,5,FALSE))/(R76*5)-Y76*1.24</f>
        <v>0.42921559713236579</v>
      </c>
      <c r="AA76" s="33"/>
      <c r="AB76" s="33"/>
      <c r="AC76" s="33"/>
      <c r="AD76" s="33"/>
      <c r="AE76" s="34"/>
      <c r="AF76" s="34"/>
      <c r="AG76" s="34"/>
      <c r="AH76" s="34">
        <f>ROUNDUP(Table2[[#This Row],[ Số lượng trúng thầu ]]*Table2[[#This Row],[Số tháng phát sinh]]/12/Table2[[#This Row],[Số tháng phát sinh]],0)</f>
        <v>14</v>
      </c>
      <c r="AI76" s="34">
        <f>ROUNDUP(Table2[[#This Row],[ Số lượng trúng thầu ]]*Table2[[#This Row],[Số tháng phát sinh]]/12/Table2[[#This Row],[Số tháng phát sinh]],0)</f>
        <v>14</v>
      </c>
      <c r="AJ76" s="34">
        <f>ROUNDUP(Table2[[#This Row],[ Số lượng trúng thầu ]]*Table2[[#This Row],[Số tháng phát sinh]]/12/Table2[[#This Row],[Số tháng phát sinh]],0)</f>
        <v>14</v>
      </c>
      <c r="AK76" s="34">
        <f>ROUNDUP(Table2[[#This Row],[ Số lượng trúng thầu ]]*Table2[[#This Row],[Số tháng phát sinh]]/12/Table2[[#This Row],[Số tháng phát sinh]],0)</f>
        <v>14</v>
      </c>
      <c r="AL76" s="34">
        <f>ROUNDUP(Table2[[#This Row],[ Số lượng trúng thầu ]]*Table2[[#This Row],[Số tháng phát sinh]]/12/Table2[[#This Row],[Số tháng phát sinh]],0)</f>
        <v>14</v>
      </c>
      <c r="AM76" s="34">
        <f>ROUNDUP(Table2[[#This Row],[ Số lượng trúng thầu ]]*Table2[[#This Row],[Số tháng phát sinh]]/12/Table2[[#This Row],[Số tháng phát sinh]],0)</f>
        <v>14</v>
      </c>
      <c r="AN76" s="34">
        <f>ROUNDUP(Table2[[#This Row],[ Số lượng trúng thầu ]]*Table2[[#This Row],[Số tháng phát sinh]]/12/Table2[[#This Row],[Số tháng phát sinh]],0)</f>
        <v>14</v>
      </c>
    </row>
    <row r="77" spans="1:40" x14ac:dyDescent="0.35">
      <c r="A77" s="26">
        <v>10</v>
      </c>
      <c r="B77" s="26">
        <v>2025</v>
      </c>
      <c r="C77" s="26" t="s">
        <v>165</v>
      </c>
      <c r="D77" s="26" t="s">
        <v>189</v>
      </c>
      <c r="E77" s="26" t="s">
        <v>208</v>
      </c>
      <c r="F77" s="26" t="s">
        <v>321</v>
      </c>
      <c r="G77" s="26" t="s">
        <v>29</v>
      </c>
      <c r="H77" s="26" t="s">
        <v>192</v>
      </c>
      <c r="I77" s="26" t="s">
        <v>281</v>
      </c>
      <c r="J77" s="26" t="s">
        <v>4</v>
      </c>
      <c r="K77" s="26" t="s">
        <v>171</v>
      </c>
      <c r="L77" s="26" t="s">
        <v>172</v>
      </c>
      <c r="M77" s="26" t="s">
        <v>173</v>
      </c>
      <c r="N77" s="26">
        <v>5000</v>
      </c>
      <c r="O77" s="26">
        <v>2</v>
      </c>
      <c r="P77" s="27">
        <v>1050000</v>
      </c>
      <c r="Q77" s="27" t="s">
        <v>183</v>
      </c>
      <c r="R77" s="28">
        <v>980000</v>
      </c>
      <c r="S77" s="29">
        <v>2100000</v>
      </c>
      <c r="T77" s="29">
        <f t="shared" si="2"/>
        <v>1960000</v>
      </c>
      <c r="U77" s="30">
        <v>0.03</v>
      </c>
      <c r="V77" s="26" t="s">
        <v>230</v>
      </c>
      <c r="W77" s="31">
        <v>5</v>
      </c>
      <c r="X77" s="28">
        <f t="shared" si="3"/>
        <v>816666.66666666663</v>
      </c>
      <c r="Y77" s="32">
        <f>VLOOKUP(Q77,'[3]DATA VALID'!M:O,3,FALSE)</f>
        <v>0.1</v>
      </c>
      <c r="Z77" s="33">
        <f>(R77-VLOOKUP(J77,'[3]DATA VALID'!G:K,5,FALSE))/R77-Y77*1.24</f>
        <v>0.37779489795918364</v>
      </c>
      <c r="AA77" s="33"/>
      <c r="AB77" s="33"/>
      <c r="AC77" s="33"/>
      <c r="AD77" s="33"/>
      <c r="AE77" s="34"/>
      <c r="AF77" s="34"/>
      <c r="AG77" s="34"/>
      <c r="AH77" s="34">
        <f>ROUNDUP(Table2[[#This Row],[ Số lượng trúng thầu ]]*Table2[[#This Row],[Số tháng phát sinh]]/12/Table2[[#This Row],[Số tháng phát sinh]],0)</f>
        <v>1</v>
      </c>
      <c r="AI77" s="34">
        <f>ROUNDUP(Table2[[#This Row],[ Số lượng trúng thầu ]]*Table2[[#This Row],[Số tháng phát sinh]]/12/Table2[[#This Row],[Số tháng phát sinh]],0)</f>
        <v>1</v>
      </c>
      <c r="AJ77" s="34">
        <f>ROUNDUP(Table2[[#This Row],[ Số lượng trúng thầu ]]*Table2[[#This Row],[Số tháng phát sinh]]/12/Table2[[#This Row],[Số tháng phát sinh]],0)</f>
        <v>1</v>
      </c>
      <c r="AK77" s="34">
        <f>ROUNDUP(Table2[[#This Row],[ Số lượng trúng thầu ]]*Table2[[#This Row],[Số tháng phát sinh]]/12/Table2[[#This Row],[Số tháng phát sinh]],0)</f>
        <v>1</v>
      </c>
      <c r="AL77" s="34">
        <f>ROUNDUP(Table2[[#This Row],[ Số lượng trúng thầu ]]*Table2[[#This Row],[Số tháng phát sinh]]/12/Table2[[#This Row],[Số tháng phát sinh]],0)</f>
        <v>1</v>
      </c>
      <c r="AM77" s="34">
        <f>ROUNDUP(Table2[[#This Row],[ Số lượng trúng thầu ]]*Table2[[#This Row],[Số tháng phát sinh]]/12/Table2[[#This Row],[Số tháng phát sinh]],0)</f>
        <v>1</v>
      </c>
      <c r="AN77" s="34">
        <f>ROUNDUP(Table2[[#This Row],[ Số lượng trúng thầu ]]*Table2[[#This Row],[Số tháng phát sinh]]/12/Table2[[#This Row],[Số tháng phát sinh]],0)</f>
        <v>1</v>
      </c>
    </row>
    <row r="78" spans="1:40" x14ac:dyDescent="0.35">
      <c r="A78" s="26">
        <v>10</v>
      </c>
      <c r="B78" s="26">
        <v>2025</v>
      </c>
      <c r="C78" s="26" t="s">
        <v>165</v>
      </c>
      <c r="D78" s="26" t="s">
        <v>189</v>
      </c>
      <c r="E78" s="26" t="s">
        <v>208</v>
      </c>
      <c r="F78" s="26" t="s">
        <v>321</v>
      </c>
      <c r="G78" s="26" t="s">
        <v>29</v>
      </c>
      <c r="H78" s="26" t="s">
        <v>192</v>
      </c>
      <c r="I78" s="26" t="s">
        <v>217</v>
      </c>
      <c r="J78" s="31" t="s">
        <v>6</v>
      </c>
      <c r="K78" s="26" t="s">
        <v>171</v>
      </c>
      <c r="L78" s="26" t="s">
        <v>178</v>
      </c>
      <c r="M78" s="26" t="s">
        <v>173</v>
      </c>
      <c r="N78" s="26">
        <v>1000</v>
      </c>
      <c r="O78" s="26">
        <v>34</v>
      </c>
      <c r="P78" s="27">
        <v>688000</v>
      </c>
      <c r="Q78" s="27" t="s">
        <v>183</v>
      </c>
      <c r="R78" s="28">
        <v>440000</v>
      </c>
      <c r="S78" s="29">
        <v>23392000</v>
      </c>
      <c r="T78" s="29">
        <f t="shared" si="2"/>
        <v>14960000</v>
      </c>
      <c r="U78" s="30">
        <v>0.28000000000000003</v>
      </c>
      <c r="V78" s="26" t="s">
        <v>230</v>
      </c>
      <c r="W78" s="31">
        <v>5</v>
      </c>
      <c r="X78" s="28">
        <f t="shared" si="3"/>
        <v>6233333.333333333</v>
      </c>
      <c r="Y78" s="32">
        <f>VLOOKUP(Q78,'[3]DATA VALID'!M:O,3,FALSE)</f>
        <v>0.1</v>
      </c>
      <c r="Z78" s="33">
        <f>(R78-VLOOKUP(J78,'[3]DATA VALID'!G:K,5,FALSE))/R78-Y78*1.24</f>
        <v>0.40493249999999992</v>
      </c>
      <c r="AA78" s="33"/>
      <c r="AB78" s="33"/>
      <c r="AC78" s="33"/>
      <c r="AD78" s="33"/>
      <c r="AE78" s="34"/>
      <c r="AF78" s="34"/>
      <c r="AG78" s="34"/>
      <c r="AH78" s="34">
        <f>ROUNDUP(Table2[[#This Row],[ Số lượng trúng thầu ]]*Table2[[#This Row],[Số tháng phát sinh]]/12/Table2[[#This Row],[Số tháng phát sinh]],0)</f>
        <v>3</v>
      </c>
      <c r="AI78" s="34">
        <f>ROUNDUP(Table2[[#This Row],[ Số lượng trúng thầu ]]*Table2[[#This Row],[Số tháng phát sinh]]/12/Table2[[#This Row],[Số tháng phát sinh]],0)</f>
        <v>3</v>
      </c>
      <c r="AJ78" s="34">
        <f>ROUNDUP(Table2[[#This Row],[ Số lượng trúng thầu ]]*Table2[[#This Row],[Số tháng phát sinh]]/12/Table2[[#This Row],[Số tháng phát sinh]],0)</f>
        <v>3</v>
      </c>
      <c r="AK78" s="34">
        <f>ROUNDUP(Table2[[#This Row],[ Số lượng trúng thầu ]]*Table2[[#This Row],[Số tháng phát sinh]]/12/Table2[[#This Row],[Số tháng phát sinh]],0)</f>
        <v>3</v>
      </c>
      <c r="AL78" s="34">
        <f>ROUNDUP(Table2[[#This Row],[ Số lượng trúng thầu ]]*Table2[[#This Row],[Số tháng phát sinh]]/12/Table2[[#This Row],[Số tháng phát sinh]],0)</f>
        <v>3</v>
      </c>
      <c r="AM78" s="34">
        <f>ROUNDUP(Table2[[#This Row],[ Số lượng trúng thầu ]]*Table2[[#This Row],[Số tháng phát sinh]]/12/Table2[[#This Row],[Số tháng phát sinh]],0)</f>
        <v>3</v>
      </c>
      <c r="AN78" s="34">
        <f>ROUNDUP(Table2[[#This Row],[ Số lượng trúng thầu ]]*Table2[[#This Row],[Số tháng phát sinh]]/12/Table2[[#This Row],[Số tháng phát sinh]],0)</f>
        <v>3</v>
      </c>
    </row>
    <row r="79" spans="1:40" x14ac:dyDescent="0.35">
      <c r="A79" s="26">
        <v>10</v>
      </c>
      <c r="B79" s="26">
        <v>2025</v>
      </c>
      <c r="C79" s="26" t="s">
        <v>165</v>
      </c>
      <c r="D79" s="26" t="s">
        <v>166</v>
      </c>
      <c r="E79" s="26" t="s">
        <v>311</v>
      </c>
      <c r="F79" s="26" t="s">
        <v>322</v>
      </c>
      <c r="G79" s="26" t="s">
        <v>54</v>
      </c>
      <c r="H79" s="26" t="s">
        <v>220</v>
      </c>
      <c r="I79" s="26" t="s">
        <v>294</v>
      </c>
      <c r="J79" s="26" t="str">
        <f>VLOOKUP(I79,'[3]DATA VALID'!A:B,2,FALSE)</f>
        <v>Exeol wipe optimal</v>
      </c>
      <c r="K79" s="26" t="s">
        <v>186</v>
      </c>
      <c r="L79" s="26" t="s">
        <v>187</v>
      </c>
      <c r="M79" s="26" t="s">
        <v>173</v>
      </c>
      <c r="N79" s="26">
        <v>100</v>
      </c>
      <c r="O79" s="26">
        <v>4</v>
      </c>
      <c r="P79" s="27">
        <v>323520</v>
      </c>
      <c r="Q79" s="27" t="s">
        <v>183</v>
      </c>
      <c r="R79" s="28">
        <v>245000</v>
      </c>
      <c r="S79" s="29">
        <v>1294080</v>
      </c>
      <c r="T79" s="29">
        <f t="shared" si="2"/>
        <v>980000</v>
      </c>
      <c r="U79" s="30">
        <v>0.53</v>
      </c>
      <c r="V79" s="26" t="s">
        <v>323</v>
      </c>
      <c r="W79" s="31">
        <v>5</v>
      </c>
      <c r="X79" s="28">
        <f t="shared" si="3"/>
        <v>408333.33333333331</v>
      </c>
      <c r="Y79" s="32">
        <f>VLOOKUP(Q79,'[3]DATA VALID'!M:O,3,FALSE)</f>
        <v>0.1</v>
      </c>
      <c r="Z79" s="33">
        <f>(R79-VLOOKUP(J79,'[3]DATA VALID'!G:K,5,FALSE))/R79-Y79*1.24</f>
        <v>0.36423428571428568</v>
      </c>
      <c r="AA79" s="33"/>
      <c r="AB79" s="33"/>
      <c r="AC79" s="33"/>
      <c r="AD79" s="33"/>
      <c r="AE79" s="34"/>
      <c r="AF79" s="34"/>
      <c r="AG79" s="34"/>
      <c r="AH79" s="34">
        <f>ROUNDUP(Table2[[#This Row],[ Số lượng trúng thầu ]]*Table2[[#This Row],[Số tháng phát sinh]]/12/Table2[[#This Row],[Số tháng phát sinh]],0)</f>
        <v>1</v>
      </c>
      <c r="AI79" s="34">
        <f>ROUNDUP(Table2[[#This Row],[ Số lượng trúng thầu ]]*Table2[[#This Row],[Số tháng phát sinh]]/12/Table2[[#This Row],[Số tháng phát sinh]],0)</f>
        <v>1</v>
      </c>
      <c r="AJ79" s="34">
        <f>ROUNDUP(Table2[[#This Row],[ Số lượng trúng thầu ]]*Table2[[#This Row],[Số tháng phát sinh]]/12/Table2[[#This Row],[Số tháng phát sinh]],0)</f>
        <v>1</v>
      </c>
      <c r="AK79" s="34">
        <f>ROUNDUP(Table2[[#This Row],[ Số lượng trúng thầu ]]*Table2[[#This Row],[Số tháng phát sinh]]/12/Table2[[#This Row],[Số tháng phát sinh]],0)</f>
        <v>1</v>
      </c>
      <c r="AL79" s="34">
        <f>ROUNDUP(Table2[[#This Row],[ Số lượng trúng thầu ]]*Table2[[#This Row],[Số tháng phát sinh]]/12/Table2[[#This Row],[Số tháng phát sinh]],0)</f>
        <v>1</v>
      </c>
      <c r="AM79" s="34">
        <f>ROUNDUP(Table2[[#This Row],[ Số lượng trúng thầu ]]*Table2[[#This Row],[Số tháng phát sinh]]/12/Table2[[#This Row],[Số tháng phát sinh]],0)</f>
        <v>1</v>
      </c>
      <c r="AN79" s="34">
        <f>ROUNDUP(Table2[[#This Row],[ Số lượng trúng thầu ]]*Table2[[#This Row],[Số tháng phát sinh]]/12/Table2[[#This Row],[Số tháng phát sinh]],0)</f>
        <v>1</v>
      </c>
    </row>
    <row r="80" spans="1:40" x14ac:dyDescent="0.35">
      <c r="A80" s="26">
        <v>10</v>
      </c>
      <c r="B80" s="26">
        <v>2025</v>
      </c>
      <c r="C80" s="26" t="s">
        <v>165</v>
      </c>
      <c r="D80" s="26" t="s">
        <v>166</v>
      </c>
      <c r="E80" s="26" t="s">
        <v>311</v>
      </c>
      <c r="F80" s="26" t="s">
        <v>322</v>
      </c>
      <c r="G80" s="26" t="s">
        <v>54</v>
      </c>
      <c r="H80" s="26" t="s">
        <v>176</v>
      </c>
      <c r="I80" s="26" t="s">
        <v>199</v>
      </c>
      <c r="J80" s="31" t="s">
        <v>8</v>
      </c>
      <c r="K80" s="26" t="s">
        <v>186</v>
      </c>
      <c r="L80" s="26" t="s">
        <v>200</v>
      </c>
      <c r="M80" s="26" t="s">
        <v>173</v>
      </c>
      <c r="N80" s="26">
        <v>500</v>
      </c>
      <c r="O80" s="26">
        <v>4</v>
      </c>
      <c r="P80" s="27">
        <v>287000</v>
      </c>
      <c r="Q80" s="27" t="s">
        <v>183</v>
      </c>
      <c r="R80" s="28">
        <v>260000</v>
      </c>
      <c r="S80" s="29">
        <v>1148000</v>
      </c>
      <c r="T80" s="29">
        <f t="shared" si="2"/>
        <v>1040000</v>
      </c>
      <c r="U80" s="30">
        <v>0.47</v>
      </c>
      <c r="V80" s="26" t="s">
        <v>324</v>
      </c>
      <c r="W80" s="31">
        <v>5</v>
      </c>
      <c r="X80" s="28">
        <f t="shared" si="3"/>
        <v>433333.33333333331</v>
      </c>
      <c r="Y80" s="32">
        <f>VLOOKUP(Q80,'[3]DATA VALID'!M:O,3,FALSE)</f>
        <v>0.1</v>
      </c>
      <c r="Z80" s="33">
        <f>(R80-VLOOKUP(J80,'[3]DATA VALID'!G:K,5,FALSE))/R80-Y80*1.24</f>
        <v>0.39375923076923069</v>
      </c>
      <c r="AA80" s="33"/>
      <c r="AB80" s="33"/>
      <c r="AC80" s="33"/>
      <c r="AD80" s="33"/>
      <c r="AE80" s="34"/>
      <c r="AF80" s="34"/>
      <c r="AG80" s="34"/>
      <c r="AH80" s="34">
        <f>ROUNDUP(Table2[[#This Row],[ Số lượng trúng thầu ]]*Table2[[#This Row],[Số tháng phát sinh]]/12/Table2[[#This Row],[Số tháng phát sinh]],0)</f>
        <v>1</v>
      </c>
      <c r="AI80" s="34">
        <f>ROUNDUP(Table2[[#This Row],[ Số lượng trúng thầu ]]*Table2[[#This Row],[Số tháng phát sinh]]/12/Table2[[#This Row],[Số tháng phát sinh]],0)</f>
        <v>1</v>
      </c>
      <c r="AJ80" s="34">
        <f>ROUNDUP(Table2[[#This Row],[ Số lượng trúng thầu ]]*Table2[[#This Row],[Số tháng phát sinh]]/12/Table2[[#This Row],[Số tháng phát sinh]],0)</f>
        <v>1</v>
      </c>
      <c r="AK80" s="34">
        <f>ROUNDUP(Table2[[#This Row],[ Số lượng trúng thầu ]]*Table2[[#This Row],[Số tháng phát sinh]]/12/Table2[[#This Row],[Số tháng phát sinh]],0)</f>
        <v>1</v>
      </c>
      <c r="AL80" s="34">
        <f>ROUNDUP(Table2[[#This Row],[ Số lượng trúng thầu ]]*Table2[[#This Row],[Số tháng phát sinh]]/12/Table2[[#This Row],[Số tháng phát sinh]],0)</f>
        <v>1</v>
      </c>
      <c r="AM80" s="34">
        <f>ROUNDUP(Table2[[#This Row],[ Số lượng trúng thầu ]]*Table2[[#This Row],[Số tháng phát sinh]]/12/Table2[[#This Row],[Số tháng phát sinh]],0)</f>
        <v>1</v>
      </c>
      <c r="AN80" s="34">
        <f>ROUNDUP(Table2[[#This Row],[ Số lượng trúng thầu ]]*Table2[[#This Row],[Số tháng phát sinh]]/12/Table2[[#This Row],[Số tháng phát sinh]],0)</f>
        <v>1</v>
      </c>
    </row>
    <row r="81" spans="1:40" x14ac:dyDescent="0.35">
      <c r="A81" s="26">
        <v>11</v>
      </c>
      <c r="B81" s="26">
        <v>2025</v>
      </c>
      <c r="C81" s="26" t="s">
        <v>165</v>
      </c>
      <c r="D81" s="26" t="s">
        <v>189</v>
      </c>
      <c r="E81" s="26" t="s">
        <v>202</v>
      </c>
      <c r="F81" s="26" t="s">
        <v>325</v>
      </c>
      <c r="G81" s="26" t="s">
        <v>47</v>
      </c>
      <c r="H81" s="26" t="s">
        <v>176</v>
      </c>
      <c r="I81" s="26" t="s">
        <v>199</v>
      </c>
      <c r="J81" s="31" t="s">
        <v>8</v>
      </c>
      <c r="K81" s="26" t="s">
        <v>186</v>
      </c>
      <c r="L81" s="26" t="s">
        <v>200</v>
      </c>
      <c r="M81" s="26" t="s">
        <v>173</v>
      </c>
      <c r="N81" s="26">
        <v>1000</v>
      </c>
      <c r="O81" s="26">
        <v>900</v>
      </c>
      <c r="P81" s="27">
        <v>246750</v>
      </c>
      <c r="Q81" s="27" t="s">
        <v>183</v>
      </c>
      <c r="R81" s="28">
        <v>260000</v>
      </c>
      <c r="S81" s="29">
        <v>222075000</v>
      </c>
      <c r="T81" s="29">
        <f t="shared" si="2"/>
        <v>234000000</v>
      </c>
      <c r="U81" s="30">
        <v>0.16</v>
      </c>
      <c r="V81" s="26" t="s">
        <v>326</v>
      </c>
      <c r="W81" s="31">
        <v>4</v>
      </c>
      <c r="X81" s="28">
        <f t="shared" si="3"/>
        <v>78000000</v>
      </c>
      <c r="Y81" s="32">
        <f>VLOOKUP(Q81,'[3]DATA VALID'!M:O,3,FALSE)</f>
        <v>0.1</v>
      </c>
      <c r="Z81" s="33">
        <f>(R81-VLOOKUP(J81,'[3]DATA VALID'!G:K,5,FALSE))/R81-Y81*1.24</f>
        <v>0.39375923076923069</v>
      </c>
      <c r="AA81" s="33"/>
      <c r="AB81" s="33"/>
      <c r="AC81" s="33"/>
      <c r="AD81" s="33"/>
      <c r="AE81" s="34"/>
      <c r="AF81" s="34"/>
      <c r="AG81" s="34"/>
      <c r="AH81" s="34"/>
      <c r="AI81" s="34">
        <f>ROUNDUP(Table2[[#This Row],[ Số lượng trúng thầu ]]*Table2[[#This Row],[Số tháng phát sinh]]/12/Table2[[#This Row],[Số tháng phát sinh]],0)</f>
        <v>75</v>
      </c>
      <c r="AJ81" s="34">
        <f>ROUNDUP(Table2[[#This Row],[ Số lượng trúng thầu ]]*Table2[[#This Row],[Số tháng phát sinh]]/12/Table2[[#This Row],[Số tháng phát sinh]],0)</f>
        <v>75</v>
      </c>
      <c r="AK81" s="34">
        <f>ROUNDUP(Table2[[#This Row],[ Số lượng trúng thầu ]]*Table2[[#This Row],[Số tháng phát sinh]]/12/Table2[[#This Row],[Số tháng phát sinh]],0)</f>
        <v>75</v>
      </c>
      <c r="AL81" s="34">
        <f>ROUNDUP(Table2[[#This Row],[ Số lượng trúng thầu ]]*Table2[[#This Row],[Số tháng phát sinh]]/12/Table2[[#This Row],[Số tháng phát sinh]],0)</f>
        <v>75</v>
      </c>
      <c r="AM81" s="34">
        <f>ROUNDUP(Table2[[#This Row],[ Số lượng trúng thầu ]]*Table2[[#This Row],[Số tháng phát sinh]]/12/Table2[[#This Row],[Số tháng phát sinh]],0)</f>
        <v>75</v>
      </c>
      <c r="AN81" s="34">
        <f>ROUNDUP(Table2[[#This Row],[ Số lượng trúng thầu ]]*Table2[[#This Row],[Số tháng phát sinh]]/12/Table2[[#This Row],[Số tháng phát sinh]],0)</f>
        <v>75</v>
      </c>
    </row>
    <row r="82" spans="1:40" x14ac:dyDescent="0.35">
      <c r="A82" s="26">
        <v>11</v>
      </c>
      <c r="B82" s="26">
        <v>2025</v>
      </c>
      <c r="C82" s="26" t="s">
        <v>165</v>
      </c>
      <c r="D82" s="26" t="s">
        <v>189</v>
      </c>
      <c r="E82" s="26" t="s">
        <v>202</v>
      </c>
      <c r="F82" s="26" t="s">
        <v>325</v>
      </c>
      <c r="G82" s="26" t="s">
        <v>47</v>
      </c>
      <c r="H82" s="26" t="s">
        <v>176</v>
      </c>
      <c r="I82" s="26" t="s">
        <v>191</v>
      </c>
      <c r="J82" s="26" t="s">
        <v>11</v>
      </c>
      <c r="K82" s="26" t="s">
        <v>171</v>
      </c>
      <c r="L82" s="26" t="s">
        <v>172</v>
      </c>
      <c r="M82" s="26" t="s">
        <v>173</v>
      </c>
      <c r="N82" s="26">
        <v>1000</v>
      </c>
      <c r="O82" s="26">
        <v>2500</v>
      </c>
      <c r="P82" s="27">
        <v>103900</v>
      </c>
      <c r="Q82" s="27" t="s">
        <v>183</v>
      </c>
      <c r="R82" s="28">
        <f>428925/5</f>
        <v>85785</v>
      </c>
      <c r="S82" s="29">
        <v>259750000</v>
      </c>
      <c r="T82" s="29">
        <f t="shared" si="2"/>
        <v>214462500</v>
      </c>
      <c r="U82" s="30">
        <v>0.19</v>
      </c>
      <c r="V82" s="26" t="s">
        <v>327</v>
      </c>
      <c r="W82" s="31">
        <v>4</v>
      </c>
      <c r="X82" s="28">
        <f t="shared" si="3"/>
        <v>71487500</v>
      </c>
      <c r="Y82" s="32">
        <f>VLOOKUP(Q82,'[3]DATA VALID'!M:O,3,FALSE)</f>
        <v>0.1</v>
      </c>
      <c r="Z82" s="33">
        <f>(R82*5-VLOOKUP(J82,'[3]DATA VALID'!G:K,5,FALSE))/(R82*5)-Y82*1.24</f>
        <v>0.42921559713236579</v>
      </c>
      <c r="AA82" s="33"/>
      <c r="AB82" s="33"/>
      <c r="AC82" s="33"/>
      <c r="AD82" s="33"/>
      <c r="AE82" s="34"/>
      <c r="AF82" s="34"/>
      <c r="AG82" s="34"/>
      <c r="AH82" s="34"/>
      <c r="AI82" s="34">
        <f>ROUNDUP(Table2[[#This Row],[ Số lượng trúng thầu ]]*Table2[[#This Row],[Số tháng phát sinh]]/12/Table2[[#This Row],[Số tháng phát sinh]],0)</f>
        <v>209</v>
      </c>
      <c r="AJ82" s="34">
        <f>ROUNDUP(Table2[[#This Row],[ Số lượng trúng thầu ]]*Table2[[#This Row],[Số tháng phát sinh]]/12/Table2[[#This Row],[Số tháng phát sinh]],0)</f>
        <v>209</v>
      </c>
      <c r="AK82" s="34">
        <f>ROUNDUP(Table2[[#This Row],[ Số lượng trúng thầu ]]*Table2[[#This Row],[Số tháng phát sinh]]/12/Table2[[#This Row],[Số tháng phát sinh]],0)</f>
        <v>209</v>
      </c>
      <c r="AL82" s="34">
        <f>ROUNDUP(Table2[[#This Row],[ Số lượng trúng thầu ]]*Table2[[#This Row],[Số tháng phát sinh]]/12/Table2[[#This Row],[Số tháng phát sinh]],0)</f>
        <v>209</v>
      </c>
      <c r="AM82" s="34">
        <f>ROUNDUP(Table2[[#This Row],[ Số lượng trúng thầu ]]*Table2[[#This Row],[Số tháng phát sinh]]/12/Table2[[#This Row],[Số tháng phát sinh]],0)</f>
        <v>209</v>
      </c>
      <c r="AN82" s="34">
        <f>ROUNDUP(Table2[[#This Row],[ Số lượng trúng thầu ]]*Table2[[#This Row],[Số tháng phát sinh]]/12/Table2[[#This Row],[Số tháng phát sinh]],0)</f>
        <v>209</v>
      </c>
    </row>
    <row r="83" spans="1:40" x14ac:dyDescent="0.35">
      <c r="A83" s="26">
        <v>11</v>
      </c>
      <c r="B83" s="26">
        <v>2025</v>
      </c>
      <c r="C83" s="26" t="s">
        <v>165</v>
      </c>
      <c r="D83" s="26" t="s">
        <v>189</v>
      </c>
      <c r="E83" s="26" t="s">
        <v>202</v>
      </c>
      <c r="F83" s="26" t="s">
        <v>325</v>
      </c>
      <c r="G83" s="26" t="s">
        <v>47</v>
      </c>
      <c r="H83" s="26" t="s">
        <v>176</v>
      </c>
      <c r="I83" s="26" t="s">
        <v>209</v>
      </c>
      <c r="J83" s="31" t="s">
        <v>6</v>
      </c>
      <c r="K83" s="26" t="s">
        <v>171</v>
      </c>
      <c r="L83" s="26" t="s">
        <v>178</v>
      </c>
      <c r="M83" s="26" t="s">
        <v>173</v>
      </c>
      <c r="N83" s="26">
        <v>1000</v>
      </c>
      <c r="O83" s="26">
        <v>750</v>
      </c>
      <c r="P83" s="27">
        <v>565950</v>
      </c>
      <c r="Q83" s="27" t="s">
        <v>183</v>
      </c>
      <c r="R83" s="28">
        <v>440000</v>
      </c>
      <c r="S83" s="29">
        <v>424462500</v>
      </c>
      <c r="T83" s="29">
        <f t="shared" si="2"/>
        <v>330000000</v>
      </c>
      <c r="U83" s="30">
        <v>0.31</v>
      </c>
      <c r="V83" s="26" t="s">
        <v>328</v>
      </c>
      <c r="W83" s="31">
        <v>4</v>
      </c>
      <c r="X83" s="28">
        <f t="shared" si="3"/>
        <v>110000000</v>
      </c>
      <c r="Y83" s="32">
        <f>VLOOKUP(Q83,'[3]DATA VALID'!M:O,3,FALSE)</f>
        <v>0.1</v>
      </c>
      <c r="Z83" s="33">
        <f>(R83-VLOOKUP(J83,'[3]DATA VALID'!G:K,5,FALSE))/R83-Y83*1.24</f>
        <v>0.40493249999999992</v>
      </c>
      <c r="AA83" s="33"/>
      <c r="AB83" s="33"/>
      <c r="AC83" s="33"/>
      <c r="AD83" s="33"/>
      <c r="AE83" s="34"/>
      <c r="AF83" s="34"/>
      <c r="AG83" s="34"/>
      <c r="AH83" s="34"/>
      <c r="AI83" s="34">
        <f>ROUNDUP(Table2[[#This Row],[ Số lượng trúng thầu ]]*Table2[[#This Row],[Số tháng phát sinh]]/12/Table2[[#This Row],[Số tháng phát sinh]],0)</f>
        <v>63</v>
      </c>
      <c r="AJ83" s="34">
        <f>ROUNDUP(Table2[[#This Row],[ Số lượng trúng thầu ]]*Table2[[#This Row],[Số tháng phát sinh]]/12/Table2[[#This Row],[Số tháng phát sinh]],0)</f>
        <v>63</v>
      </c>
      <c r="AK83" s="34">
        <f>ROUNDUP(Table2[[#This Row],[ Số lượng trúng thầu ]]*Table2[[#This Row],[Số tháng phát sinh]]/12/Table2[[#This Row],[Số tháng phát sinh]],0)</f>
        <v>63</v>
      </c>
      <c r="AL83" s="34">
        <f>ROUNDUP(Table2[[#This Row],[ Số lượng trúng thầu ]]*Table2[[#This Row],[Số tháng phát sinh]]/12/Table2[[#This Row],[Số tháng phát sinh]],0)</f>
        <v>63</v>
      </c>
      <c r="AM83" s="34">
        <f>ROUNDUP(Table2[[#This Row],[ Số lượng trúng thầu ]]*Table2[[#This Row],[Số tháng phát sinh]]/12/Table2[[#This Row],[Số tháng phát sinh]],0)</f>
        <v>63</v>
      </c>
      <c r="AN83" s="34">
        <f>ROUNDUP(Table2[[#This Row],[ Số lượng trúng thầu ]]*Table2[[#This Row],[Số tháng phát sinh]]/12/Table2[[#This Row],[Số tháng phát sinh]],0)</f>
        <v>63</v>
      </c>
    </row>
    <row r="84" spans="1:40" x14ac:dyDescent="0.35">
      <c r="A84" s="26">
        <v>11</v>
      </c>
      <c r="B84" s="26">
        <v>2025</v>
      </c>
      <c r="C84" s="26" t="s">
        <v>165</v>
      </c>
      <c r="D84" s="26" t="s">
        <v>166</v>
      </c>
      <c r="E84" s="26" t="s">
        <v>311</v>
      </c>
      <c r="F84" s="26" t="s">
        <v>329</v>
      </c>
      <c r="G84" s="26" t="s">
        <v>31</v>
      </c>
      <c r="H84" s="26" t="s">
        <v>176</v>
      </c>
      <c r="I84" s="26" t="s">
        <v>177</v>
      </c>
      <c r="J84" s="31" t="s">
        <v>12</v>
      </c>
      <c r="K84" s="26" t="s">
        <v>171</v>
      </c>
      <c r="L84" s="26" t="s">
        <v>178</v>
      </c>
      <c r="M84" s="26" t="s">
        <v>173</v>
      </c>
      <c r="N84" s="26">
        <v>1000</v>
      </c>
      <c r="O84" s="26">
        <v>2500</v>
      </c>
      <c r="P84" s="27">
        <v>370000</v>
      </c>
      <c r="Q84" s="27" t="s">
        <v>183</v>
      </c>
      <c r="R84" s="28">
        <f>1450000/5</f>
        <v>290000</v>
      </c>
      <c r="S84" s="29">
        <v>925000000</v>
      </c>
      <c r="T84" s="29">
        <f t="shared" si="2"/>
        <v>725000000</v>
      </c>
      <c r="U84" s="30">
        <v>0</v>
      </c>
      <c r="V84" s="26" t="s">
        <v>330</v>
      </c>
      <c r="W84" s="31">
        <v>4</v>
      </c>
      <c r="X84" s="28">
        <f t="shared" si="3"/>
        <v>241666666.66666666</v>
      </c>
      <c r="Y84" s="32">
        <f>VLOOKUP(Q84,'[3]DATA VALID'!M:O,3,FALSE)</f>
        <v>0.1</v>
      </c>
      <c r="Z84" s="33">
        <f>(R84-VLOOKUP(J84,'[3]DATA VALID'!G:K,5,FALSE))/R84-Y84*1.24</f>
        <v>0.40335517241379315</v>
      </c>
      <c r="AA84" s="33"/>
      <c r="AB84" s="33"/>
      <c r="AC84" s="33"/>
      <c r="AD84" s="33"/>
      <c r="AE84" s="34"/>
      <c r="AF84" s="34"/>
      <c r="AG84" s="34"/>
      <c r="AH84" s="34"/>
      <c r="AI84" s="34">
        <f>ROUNDUP(Table2[[#This Row],[ Số lượng trúng thầu ]]*Table2[[#This Row],[Số tháng phát sinh]]/12/Table2[[#This Row],[Số tháng phát sinh]],0)</f>
        <v>209</v>
      </c>
      <c r="AJ84" s="34">
        <f>ROUNDUP(Table2[[#This Row],[ Số lượng trúng thầu ]]*Table2[[#This Row],[Số tháng phát sinh]]/12/Table2[[#This Row],[Số tháng phát sinh]],0)</f>
        <v>209</v>
      </c>
      <c r="AK84" s="34">
        <f>ROUNDUP(Table2[[#This Row],[ Số lượng trúng thầu ]]*Table2[[#This Row],[Số tháng phát sinh]]/12/Table2[[#This Row],[Số tháng phát sinh]],0)</f>
        <v>209</v>
      </c>
      <c r="AL84" s="34">
        <f>ROUNDUP(Table2[[#This Row],[ Số lượng trúng thầu ]]*Table2[[#This Row],[Số tháng phát sinh]]/12/Table2[[#This Row],[Số tháng phát sinh]],0)</f>
        <v>209</v>
      </c>
      <c r="AM84" s="34">
        <f>ROUNDUP(Table2[[#This Row],[ Số lượng trúng thầu ]]*Table2[[#This Row],[Số tháng phát sinh]]/12/Table2[[#This Row],[Số tháng phát sinh]],0)</f>
        <v>209</v>
      </c>
      <c r="AN84" s="34">
        <f>ROUNDUP(Table2[[#This Row],[ Số lượng trúng thầu ]]*Table2[[#This Row],[Số tháng phát sinh]]/12/Table2[[#This Row],[Số tháng phát sinh]],0)</f>
        <v>209</v>
      </c>
    </row>
    <row r="85" spans="1:40" x14ac:dyDescent="0.35">
      <c r="A85" s="26">
        <v>11</v>
      </c>
      <c r="B85" s="26">
        <v>2025</v>
      </c>
      <c r="C85" s="26" t="s">
        <v>165</v>
      </c>
      <c r="D85" s="26" t="s">
        <v>166</v>
      </c>
      <c r="E85" s="26" t="s">
        <v>311</v>
      </c>
      <c r="F85" s="26" t="s">
        <v>329</v>
      </c>
      <c r="G85" s="26" t="s">
        <v>31</v>
      </c>
      <c r="H85" s="26" t="s">
        <v>176</v>
      </c>
      <c r="I85" s="26" t="s">
        <v>204</v>
      </c>
      <c r="J85" s="26" t="s">
        <v>4</v>
      </c>
      <c r="K85" s="26" t="s">
        <v>171</v>
      </c>
      <c r="L85" s="26" t="s">
        <v>172</v>
      </c>
      <c r="M85" s="26" t="s">
        <v>173</v>
      </c>
      <c r="N85" s="26">
        <v>5000</v>
      </c>
      <c r="O85" s="26">
        <v>200</v>
      </c>
      <c r="P85" s="27">
        <v>1120000</v>
      </c>
      <c r="Q85" s="27" t="s">
        <v>183</v>
      </c>
      <c r="R85" s="28">
        <v>980000</v>
      </c>
      <c r="S85" s="29">
        <v>224000000</v>
      </c>
      <c r="T85" s="29">
        <f t="shared" si="2"/>
        <v>196000000</v>
      </c>
      <c r="U85" s="30">
        <v>0.02</v>
      </c>
      <c r="V85" s="26" t="s">
        <v>330</v>
      </c>
      <c r="W85" s="31">
        <v>4</v>
      </c>
      <c r="X85" s="28">
        <f t="shared" si="3"/>
        <v>65333333.333333336</v>
      </c>
      <c r="Y85" s="32">
        <f>VLOOKUP(Q85,'[3]DATA VALID'!M:O,3,FALSE)</f>
        <v>0.1</v>
      </c>
      <c r="Z85" s="33">
        <f>(R85-VLOOKUP(J85,'[3]DATA VALID'!G:K,5,FALSE))/R85-Y85*1.24</f>
        <v>0.37779489795918364</v>
      </c>
      <c r="AA85" s="33"/>
      <c r="AB85" s="33"/>
      <c r="AC85" s="33"/>
      <c r="AD85" s="33"/>
      <c r="AE85" s="34"/>
      <c r="AF85" s="34"/>
      <c r="AG85" s="34"/>
      <c r="AH85" s="34"/>
      <c r="AI85" s="34">
        <f>ROUNDUP(Table2[[#This Row],[ Số lượng trúng thầu ]]*Table2[[#This Row],[Số tháng phát sinh]]/12/Table2[[#This Row],[Số tháng phát sinh]],0)</f>
        <v>17</v>
      </c>
      <c r="AJ85" s="34">
        <f>ROUNDUP(Table2[[#This Row],[ Số lượng trúng thầu ]]*Table2[[#This Row],[Số tháng phát sinh]]/12/Table2[[#This Row],[Số tháng phát sinh]],0)</f>
        <v>17</v>
      </c>
      <c r="AK85" s="34">
        <f>ROUNDUP(Table2[[#This Row],[ Số lượng trúng thầu ]]*Table2[[#This Row],[Số tháng phát sinh]]/12/Table2[[#This Row],[Số tháng phát sinh]],0)</f>
        <v>17</v>
      </c>
      <c r="AL85" s="34">
        <f>ROUNDUP(Table2[[#This Row],[ Số lượng trúng thầu ]]*Table2[[#This Row],[Số tháng phát sinh]]/12/Table2[[#This Row],[Số tháng phát sinh]],0)</f>
        <v>17</v>
      </c>
      <c r="AM85" s="34">
        <f>ROUNDUP(Table2[[#This Row],[ Số lượng trúng thầu ]]*Table2[[#This Row],[Số tháng phát sinh]]/12/Table2[[#This Row],[Số tháng phát sinh]],0)</f>
        <v>17</v>
      </c>
      <c r="AN85" s="34">
        <f>ROUNDUP(Table2[[#This Row],[ Số lượng trúng thầu ]]*Table2[[#This Row],[Số tháng phát sinh]]/12/Table2[[#This Row],[Số tháng phát sinh]],0)</f>
        <v>17</v>
      </c>
    </row>
    <row r="86" spans="1:40" x14ac:dyDescent="0.35">
      <c r="A86" s="26">
        <v>11</v>
      </c>
      <c r="B86" s="26">
        <v>2025</v>
      </c>
      <c r="C86" s="26" t="s">
        <v>165</v>
      </c>
      <c r="D86" s="26" t="s">
        <v>166</v>
      </c>
      <c r="E86" s="26" t="s">
        <v>311</v>
      </c>
      <c r="F86" s="26" t="s">
        <v>329</v>
      </c>
      <c r="G86" s="26" t="s">
        <v>31</v>
      </c>
      <c r="H86" s="26" t="s">
        <v>176</v>
      </c>
      <c r="I86" s="26" t="s">
        <v>244</v>
      </c>
      <c r="J86" s="31" t="s">
        <v>5</v>
      </c>
      <c r="K86" s="26" t="s">
        <v>171</v>
      </c>
      <c r="L86" s="26" t="s">
        <v>178</v>
      </c>
      <c r="M86" s="26" t="s">
        <v>173</v>
      </c>
      <c r="N86" s="26">
        <v>1000</v>
      </c>
      <c r="O86" s="26">
        <v>2000</v>
      </c>
      <c r="P86" s="27">
        <v>600000</v>
      </c>
      <c r="Q86" s="27" t="s">
        <v>183</v>
      </c>
      <c r="R86" s="27">
        <v>530000</v>
      </c>
      <c r="S86" s="29">
        <v>1200000000</v>
      </c>
      <c r="T86" s="29">
        <f t="shared" si="2"/>
        <v>1060000000</v>
      </c>
      <c r="U86" s="30">
        <v>0.1</v>
      </c>
      <c r="V86" s="26" t="s">
        <v>330</v>
      </c>
      <c r="W86" s="31">
        <v>4</v>
      </c>
      <c r="X86" s="28">
        <f t="shared" si="3"/>
        <v>353333333.33333331</v>
      </c>
      <c r="Y86" s="32">
        <f>VLOOKUP(Q86,'[3]DATA VALID'!M:O,3,FALSE)</f>
        <v>0.1</v>
      </c>
      <c r="Z86" s="33">
        <f>(R86-VLOOKUP(J86,'[3]DATA VALID'!G:K,5,FALSE))/R86-Y86*1.24</f>
        <v>0.41266981132075475</v>
      </c>
      <c r="AA86" s="33"/>
      <c r="AB86" s="33"/>
      <c r="AC86" s="33"/>
      <c r="AD86" s="33"/>
      <c r="AE86" s="34"/>
      <c r="AF86" s="34"/>
      <c r="AG86" s="34"/>
      <c r="AH86" s="34"/>
      <c r="AI86" s="34">
        <f>ROUNDUP(Table2[[#This Row],[ Số lượng trúng thầu ]]*Table2[[#This Row],[Số tháng phát sinh]]/12/Table2[[#This Row],[Số tháng phát sinh]],0)</f>
        <v>167</v>
      </c>
      <c r="AJ86" s="34">
        <f>ROUNDUP(Table2[[#This Row],[ Số lượng trúng thầu ]]*Table2[[#This Row],[Số tháng phát sinh]]/12/Table2[[#This Row],[Số tháng phát sinh]],0)</f>
        <v>167</v>
      </c>
      <c r="AK86" s="34">
        <f>ROUNDUP(Table2[[#This Row],[ Số lượng trúng thầu ]]*Table2[[#This Row],[Số tháng phát sinh]]/12/Table2[[#This Row],[Số tháng phát sinh]],0)</f>
        <v>167</v>
      </c>
      <c r="AL86" s="34">
        <f>ROUNDUP(Table2[[#This Row],[ Số lượng trúng thầu ]]*Table2[[#This Row],[Số tháng phát sinh]]/12/Table2[[#This Row],[Số tháng phát sinh]],0)</f>
        <v>167</v>
      </c>
      <c r="AM86" s="34">
        <f>ROUNDUP(Table2[[#This Row],[ Số lượng trúng thầu ]]*Table2[[#This Row],[Số tháng phát sinh]]/12/Table2[[#This Row],[Số tháng phát sinh]],0)</f>
        <v>167</v>
      </c>
      <c r="AN86" s="34">
        <f>ROUNDUP(Table2[[#This Row],[ Số lượng trúng thầu ]]*Table2[[#This Row],[Số tháng phát sinh]]/12/Table2[[#This Row],[Số tháng phát sinh]],0)</f>
        <v>167</v>
      </c>
    </row>
    <row r="87" spans="1:40" x14ac:dyDescent="0.35">
      <c r="A87" s="26">
        <v>11</v>
      </c>
      <c r="B87" s="26">
        <v>2025</v>
      </c>
      <c r="C87" s="26" t="s">
        <v>165</v>
      </c>
      <c r="D87" s="26" t="s">
        <v>166</v>
      </c>
      <c r="E87" s="26" t="s">
        <v>311</v>
      </c>
      <c r="F87" s="26" t="s">
        <v>329</v>
      </c>
      <c r="G87" s="26" t="s">
        <v>31</v>
      </c>
      <c r="H87" s="26" t="s">
        <v>176</v>
      </c>
      <c r="I87" s="26" t="s">
        <v>241</v>
      </c>
      <c r="J87" s="26" t="s">
        <v>7</v>
      </c>
      <c r="K87" s="26" t="s">
        <v>171</v>
      </c>
      <c r="L87" s="26" t="s">
        <v>178</v>
      </c>
      <c r="M87" s="26" t="s">
        <v>173</v>
      </c>
      <c r="N87" s="26">
        <v>5000</v>
      </c>
      <c r="O87" s="26">
        <v>500</v>
      </c>
      <c r="P87" s="27">
        <v>2220000</v>
      </c>
      <c r="Q87" s="27" t="s">
        <v>183</v>
      </c>
      <c r="R87" s="28">
        <v>2000000</v>
      </c>
      <c r="S87" s="29">
        <v>1110000000</v>
      </c>
      <c r="T87" s="29">
        <f t="shared" si="2"/>
        <v>1000000000</v>
      </c>
      <c r="U87" s="30">
        <v>0.09</v>
      </c>
      <c r="V87" s="26" t="s">
        <v>330</v>
      </c>
      <c r="W87" s="31">
        <v>4</v>
      </c>
      <c r="X87" s="28">
        <f t="shared" si="3"/>
        <v>333333333.33333331</v>
      </c>
      <c r="Y87" s="32">
        <f>VLOOKUP(Q87,'[3]DATA VALID'!M:O,3,FALSE)</f>
        <v>0.1</v>
      </c>
      <c r="Z87" s="33">
        <f>(R87-VLOOKUP(J87,'[3]DATA VALID'!G:K,5,FALSE))/R87-Y87*1.24</f>
        <v>0.41820584999999988</v>
      </c>
      <c r="AA87" s="33"/>
      <c r="AB87" s="33"/>
      <c r="AC87" s="33"/>
      <c r="AD87" s="33"/>
      <c r="AE87" s="34"/>
      <c r="AF87" s="34"/>
      <c r="AG87" s="34"/>
      <c r="AH87" s="34"/>
      <c r="AI87" s="34">
        <f>ROUNDUP(Table2[[#This Row],[ Số lượng trúng thầu ]]*Table2[[#This Row],[Số tháng phát sinh]]/12/Table2[[#This Row],[Số tháng phát sinh]],0)</f>
        <v>42</v>
      </c>
      <c r="AJ87" s="34">
        <f>ROUNDUP(Table2[[#This Row],[ Số lượng trúng thầu ]]*Table2[[#This Row],[Số tháng phát sinh]]/12/Table2[[#This Row],[Số tháng phát sinh]],0)</f>
        <v>42</v>
      </c>
      <c r="AK87" s="34">
        <f>ROUNDUP(Table2[[#This Row],[ Số lượng trúng thầu ]]*Table2[[#This Row],[Số tháng phát sinh]]/12/Table2[[#This Row],[Số tháng phát sinh]],0)</f>
        <v>42</v>
      </c>
      <c r="AL87" s="34">
        <f>ROUNDUP(Table2[[#This Row],[ Số lượng trúng thầu ]]*Table2[[#This Row],[Số tháng phát sinh]]/12/Table2[[#This Row],[Số tháng phát sinh]],0)</f>
        <v>42</v>
      </c>
      <c r="AM87" s="34">
        <f>ROUNDUP(Table2[[#This Row],[ Số lượng trúng thầu ]]*Table2[[#This Row],[Số tháng phát sinh]]/12/Table2[[#This Row],[Số tháng phát sinh]],0)</f>
        <v>42</v>
      </c>
      <c r="AN87" s="34">
        <f>ROUNDUP(Table2[[#This Row],[ Số lượng trúng thầu ]]*Table2[[#This Row],[Số tháng phát sinh]]/12/Table2[[#This Row],[Số tháng phát sinh]],0)</f>
        <v>42</v>
      </c>
    </row>
    <row r="88" spans="1:40" x14ac:dyDescent="0.35">
      <c r="A88" s="26">
        <v>11</v>
      </c>
      <c r="B88" s="26">
        <v>2025</v>
      </c>
      <c r="C88" s="26" t="s">
        <v>165</v>
      </c>
      <c r="D88" s="26" t="s">
        <v>166</v>
      </c>
      <c r="E88" s="26" t="s">
        <v>311</v>
      </c>
      <c r="F88" s="26" t="s">
        <v>329</v>
      </c>
      <c r="G88" s="26" t="s">
        <v>31</v>
      </c>
      <c r="H88" s="26" t="s">
        <v>176</v>
      </c>
      <c r="I88" s="26" t="s">
        <v>213</v>
      </c>
      <c r="J88" s="31" t="s">
        <v>10</v>
      </c>
      <c r="K88" s="26" t="s">
        <v>186</v>
      </c>
      <c r="L88" s="26" t="s">
        <v>200</v>
      </c>
      <c r="M88" s="26" t="s">
        <v>173</v>
      </c>
      <c r="N88" s="26">
        <v>750</v>
      </c>
      <c r="O88" s="26">
        <v>1000</v>
      </c>
      <c r="P88" s="27">
        <v>420000</v>
      </c>
      <c r="Q88" s="27" t="s">
        <v>183</v>
      </c>
      <c r="R88" s="28">
        <v>360000</v>
      </c>
      <c r="S88" s="29">
        <v>420000000</v>
      </c>
      <c r="T88" s="29">
        <f t="shared" si="2"/>
        <v>360000000</v>
      </c>
      <c r="U88" s="30">
        <v>0.04</v>
      </c>
      <c r="V88" s="26" t="s">
        <v>330</v>
      </c>
      <c r="W88" s="31">
        <v>4</v>
      </c>
      <c r="X88" s="28">
        <f t="shared" si="3"/>
        <v>120000000</v>
      </c>
      <c r="Y88" s="32">
        <f>VLOOKUP(Q88,'[3]DATA VALID'!M:O,3,FALSE)</f>
        <v>0.1</v>
      </c>
      <c r="Z88" s="33">
        <f>(R88-VLOOKUP(J88,'[3]DATA VALID'!G:K,5,FALSE))/R88-Y88*1.24</f>
        <v>0.56480833333333336</v>
      </c>
      <c r="AA88" s="33"/>
      <c r="AB88" s="33"/>
      <c r="AC88" s="33"/>
      <c r="AD88" s="33"/>
      <c r="AE88" s="34"/>
      <c r="AF88" s="34"/>
      <c r="AG88" s="34"/>
      <c r="AH88" s="34"/>
      <c r="AI88" s="34">
        <f>ROUNDUP(Table2[[#This Row],[ Số lượng trúng thầu ]]*Table2[[#This Row],[Số tháng phát sinh]]/12/Table2[[#This Row],[Số tháng phát sinh]],0)</f>
        <v>84</v>
      </c>
      <c r="AJ88" s="34">
        <f>ROUNDUP(Table2[[#This Row],[ Số lượng trúng thầu ]]*Table2[[#This Row],[Số tháng phát sinh]]/12/Table2[[#This Row],[Số tháng phát sinh]],0)</f>
        <v>84</v>
      </c>
      <c r="AK88" s="34">
        <f>ROUNDUP(Table2[[#This Row],[ Số lượng trúng thầu ]]*Table2[[#This Row],[Số tháng phát sinh]]/12/Table2[[#This Row],[Số tháng phát sinh]],0)</f>
        <v>84</v>
      </c>
      <c r="AL88" s="34">
        <f>ROUNDUP(Table2[[#This Row],[ Số lượng trúng thầu ]]*Table2[[#This Row],[Số tháng phát sinh]]/12/Table2[[#This Row],[Số tháng phát sinh]],0)</f>
        <v>84</v>
      </c>
      <c r="AM88" s="34">
        <f>ROUNDUP(Table2[[#This Row],[ Số lượng trúng thầu ]]*Table2[[#This Row],[Số tháng phát sinh]]/12/Table2[[#This Row],[Số tháng phát sinh]],0)</f>
        <v>84</v>
      </c>
      <c r="AN88" s="34">
        <f>ROUNDUP(Table2[[#This Row],[ Số lượng trúng thầu ]]*Table2[[#This Row],[Số tháng phát sinh]]/12/Table2[[#This Row],[Số tháng phát sinh]],0)</f>
        <v>84</v>
      </c>
    </row>
    <row r="89" spans="1:40" x14ac:dyDescent="0.35">
      <c r="A89" s="26">
        <v>10</v>
      </c>
      <c r="B89" s="26">
        <v>2025</v>
      </c>
      <c r="C89" s="26" t="s">
        <v>165</v>
      </c>
      <c r="D89" s="26" t="s">
        <v>166</v>
      </c>
      <c r="E89" s="26" t="s">
        <v>225</v>
      </c>
      <c r="F89" s="26" t="s">
        <v>331</v>
      </c>
      <c r="G89" s="26" t="s">
        <v>40</v>
      </c>
      <c r="H89" s="26" t="s">
        <v>176</v>
      </c>
      <c r="I89" s="26" t="s">
        <v>177</v>
      </c>
      <c r="J89" s="31" t="s">
        <v>12</v>
      </c>
      <c r="K89" s="26" t="s">
        <v>171</v>
      </c>
      <c r="L89" s="26" t="s">
        <v>178</v>
      </c>
      <c r="M89" s="26" t="s">
        <v>173</v>
      </c>
      <c r="N89" s="26">
        <v>1000</v>
      </c>
      <c r="O89" s="26">
        <v>7</v>
      </c>
      <c r="P89" s="27">
        <v>366500</v>
      </c>
      <c r="Q89" s="27" t="s">
        <v>183</v>
      </c>
      <c r="R89" s="28">
        <f>1450000/5</f>
        <v>290000</v>
      </c>
      <c r="S89" s="29">
        <v>2565500</v>
      </c>
      <c r="T89" s="29">
        <f t="shared" si="2"/>
        <v>2030000</v>
      </c>
      <c r="U89" s="30">
        <v>0.14000000000000001</v>
      </c>
      <c r="V89" s="26" t="s">
        <v>210</v>
      </c>
      <c r="W89" s="31">
        <v>5</v>
      </c>
      <c r="X89" s="28">
        <f t="shared" si="3"/>
        <v>845833.33333333337</v>
      </c>
      <c r="Y89" s="32">
        <f>VLOOKUP(Q89,'[3]DATA VALID'!M:O,3,FALSE)</f>
        <v>0.1</v>
      </c>
      <c r="Z89" s="33">
        <f>(R89-VLOOKUP(J89,'[3]DATA VALID'!G:K,5,FALSE))/R89-Y89*1.24</f>
        <v>0.40335517241379315</v>
      </c>
      <c r="AA89" s="33"/>
      <c r="AB89" s="33"/>
      <c r="AC89" s="33"/>
      <c r="AD89" s="33"/>
      <c r="AE89" s="34"/>
      <c r="AF89" s="34"/>
      <c r="AG89" s="34"/>
      <c r="AH89" s="34">
        <f>ROUNDUP(Table2[[#This Row],[ Số lượng trúng thầu ]]*Table2[[#This Row],[Số tháng phát sinh]]/12/Table2[[#This Row],[Số tháng phát sinh]],0)</f>
        <v>1</v>
      </c>
      <c r="AI89" s="34">
        <f>ROUNDUP(Table2[[#This Row],[ Số lượng trúng thầu ]]*Table2[[#This Row],[Số tháng phát sinh]]/12/Table2[[#This Row],[Số tháng phát sinh]],0)</f>
        <v>1</v>
      </c>
      <c r="AJ89" s="34">
        <f>ROUNDUP(Table2[[#This Row],[ Số lượng trúng thầu ]]*Table2[[#This Row],[Số tháng phát sinh]]/12/Table2[[#This Row],[Số tháng phát sinh]],0)</f>
        <v>1</v>
      </c>
      <c r="AK89" s="34">
        <f>ROUNDUP(Table2[[#This Row],[ Số lượng trúng thầu ]]*Table2[[#This Row],[Số tháng phát sinh]]/12/Table2[[#This Row],[Số tháng phát sinh]],0)</f>
        <v>1</v>
      </c>
      <c r="AL89" s="34">
        <f>ROUNDUP(Table2[[#This Row],[ Số lượng trúng thầu ]]*Table2[[#This Row],[Số tháng phát sinh]]/12/Table2[[#This Row],[Số tháng phát sinh]],0)</f>
        <v>1</v>
      </c>
      <c r="AM89" s="34">
        <f>ROUNDUP(Table2[[#This Row],[ Số lượng trúng thầu ]]*Table2[[#This Row],[Số tháng phát sinh]]/12/Table2[[#This Row],[Số tháng phát sinh]],0)</f>
        <v>1</v>
      </c>
      <c r="AN89" s="34">
        <f>ROUNDUP(Table2[[#This Row],[ Số lượng trúng thầu ]]*Table2[[#This Row],[Số tháng phát sinh]]/12/Table2[[#This Row],[Số tháng phát sinh]],0)</f>
        <v>1</v>
      </c>
    </row>
    <row r="90" spans="1:40" x14ac:dyDescent="0.35">
      <c r="A90" s="26">
        <v>10</v>
      </c>
      <c r="B90" s="26">
        <v>2025</v>
      </c>
      <c r="C90" s="26" t="s">
        <v>165</v>
      </c>
      <c r="D90" s="26" t="s">
        <v>166</v>
      </c>
      <c r="E90" s="26" t="s">
        <v>225</v>
      </c>
      <c r="F90" s="26" t="s">
        <v>331</v>
      </c>
      <c r="G90" s="26" t="s">
        <v>40</v>
      </c>
      <c r="H90" s="26" t="s">
        <v>176</v>
      </c>
      <c r="I90" s="26" t="s">
        <v>244</v>
      </c>
      <c r="J90" s="31" t="s">
        <v>5</v>
      </c>
      <c r="K90" s="26" t="s">
        <v>171</v>
      </c>
      <c r="L90" s="26" t="s">
        <v>178</v>
      </c>
      <c r="M90" s="26" t="s">
        <v>173</v>
      </c>
      <c r="N90" s="26">
        <v>1000</v>
      </c>
      <c r="O90" s="26">
        <v>15</v>
      </c>
      <c r="P90" s="27">
        <v>410800</v>
      </c>
      <c r="Q90" s="27" t="s">
        <v>183</v>
      </c>
      <c r="R90" s="27">
        <v>530000</v>
      </c>
      <c r="S90" s="29">
        <v>6162000</v>
      </c>
      <c r="T90" s="29">
        <f t="shared" ref="T90:T123" si="4">R90*O90</f>
        <v>7950000</v>
      </c>
      <c r="U90" s="30">
        <v>0.33</v>
      </c>
      <c r="V90" s="26" t="s">
        <v>210</v>
      </c>
      <c r="W90" s="31">
        <v>5</v>
      </c>
      <c r="X90" s="28">
        <f t="shared" ref="X90:X121" si="5">T90*W90/12</f>
        <v>3312500</v>
      </c>
      <c r="Y90" s="32">
        <f>VLOOKUP(Q90,'[3]DATA VALID'!M:O,3,FALSE)</f>
        <v>0.1</v>
      </c>
      <c r="Z90" s="33">
        <f>(R90-VLOOKUP(J90,'[3]DATA VALID'!G:K,5,FALSE))/R90-Y90*1.24</f>
        <v>0.41266981132075475</v>
      </c>
      <c r="AA90" s="33"/>
      <c r="AB90" s="33"/>
      <c r="AC90" s="33"/>
      <c r="AD90" s="33"/>
      <c r="AE90" s="34"/>
      <c r="AF90" s="34"/>
      <c r="AG90" s="34"/>
      <c r="AH90" s="34">
        <f>ROUNDUP(Table2[[#This Row],[ Số lượng trúng thầu ]]*Table2[[#This Row],[Số tháng phát sinh]]/12/Table2[[#This Row],[Số tháng phát sinh]],0)</f>
        <v>2</v>
      </c>
      <c r="AI90" s="34">
        <f>ROUNDUP(Table2[[#This Row],[ Số lượng trúng thầu ]]*Table2[[#This Row],[Số tháng phát sinh]]/12/Table2[[#This Row],[Số tháng phát sinh]],0)</f>
        <v>2</v>
      </c>
      <c r="AJ90" s="34">
        <f>ROUNDUP(Table2[[#This Row],[ Số lượng trúng thầu ]]*Table2[[#This Row],[Số tháng phát sinh]]/12/Table2[[#This Row],[Số tháng phát sinh]],0)</f>
        <v>2</v>
      </c>
      <c r="AK90" s="34">
        <f>ROUNDUP(Table2[[#This Row],[ Số lượng trúng thầu ]]*Table2[[#This Row],[Số tháng phát sinh]]/12/Table2[[#This Row],[Số tháng phát sinh]],0)</f>
        <v>2</v>
      </c>
      <c r="AL90" s="34">
        <f>ROUNDUP(Table2[[#This Row],[ Số lượng trúng thầu ]]*Table2[[#This Row],[Số tháng phát sinh]]/12/Table2[[#This Row],[Số tháng phát sinh]],0)</f>
        <v>2</v>
      </c>
      <c r="AM90" s="34">
        <f>ROUNDUP(Table2[[#This Row],[ Số lượng trúng thầu ]]*Table2[[#This Row],[Số tháng phát sinh]]/12/Table2[[#This Row],[Số tháng phát sinh]],0)</f>
        <v>2</v>
      </c>
      <c r="AN90" s="34">
        <f>ROUNDUP(Table2[[#This Row],[ Số lượng trúng thầu ]]*Table2[[#This Row],[Số tháng phát sinh]]/12/Table2[[#This Row],[Số tháng phát sinh]],0)</f>
        <v>2</v>
      </c>
    </row>
    <row r="91" spans="1:40" x14ac:dyDescent="0.35">
      <c r="A91" s="26">
        <v>12</v>
      </c>
      <c r="B91" s="26">
        <v>2025</v>
      </c>
      <c r="C91" s="26" t="s">
        <v>165</v>
      </c>
      <c r="D91" s="26" t="s">
        <v>166</v>
      </c>
      <c r="E91" s="26" t="s">
        <v>180</v>
      </c>
      <c r="F91" s="26" t="s">
        <v>332</v>
      </c>
      <c r="G91" s="26" t="s">
        <v>64</v>
      </c>
      <c r="H91" s="26" t="s">
        <v>176</v>
      </c>
      <c r="I91" s="26" t="s">
        <v>177</v>
      </c>
      <c r="J91" s="31" t="s">
        <v>12</v>
      </c>
      <c r="K91" s="26" t="s">
        <v>171</v>
      </c>
      <c r="L91" s="26" t="s">
        <v>178</v>
      </c>
      <c r="M91" s="26" t="s">
        <v>173</v>
      </c>
      <c r="N91" s="26">
        <v>1000</v>
      </c>
      <c r="O91" s="26">
        <v>8</v>
      </c>
      <c r="P91" s="27">
        <v>349146</v>
      </c>
      <c r="Q91" s="27" t="s">
        <v>183</v>
      </c>
      <c r="R91" s="28">
        <f>1450000/5</f>
        <v>290000</v>
      </c>
      <c r="S91" s="29">
        <v>2793168</v>
      </c>
      <c r="T91" s="29">
        <f t="shared" si="4"/>
        <v>2320000</v>
      </c>
      <c r="U91" s="30">
        <v>0.45</v>
      </c>
      <c r="V91" s="26" t="s">
        <v>333</v>
      </c>
      <c r="W91" s="31">
        <v>3</v>
      </c>
      <c r="X91" s="28">
        <f t="shared" si="5"/>
        <v>580000</v>
      </c>
      <c r="Y91" s="32">
        <f>VLOOKUP(Q91,'[3]DATA VALID'!M:O,3,FALSE)</f>
        <v>0.1</v>
      </c>
      <c r="Z91" s="33">
        <f>(R91-VLOOKUP(J91,'[3]DATA VALID'!G:K,5,FALSE))/R91-Y91*1.24</f>
        <v>0.40335517241379315</v>
      </c>
      <c r="AA91" s="33"/>
      <c r="AB91" s="33"/>
      <c r="AC91" s="33"/>
      <c r="AD91" s="33"/>
      <c r="AE91" s="34"/>
      <c r="AF91" s="34"/>
      <c r="AG91" s="34"/>
      <c r="AH91" s="34"/>
      <c r="AI91" s="34"/>
      <c r="AJ91" s="34">
        <f>ROUNDUP(Table2[[#This Row],[ Số lượng trúng thầu ]]*Table2[[#This Row],[Số tháng phát sinh]]/12/Table2[[#This Row],[Số tháng phát sinh]],0)</f>
        <v>1</v>
      </c>
      <c r="AK91" s="34">
        <f>ROUNDUP(Table2[[#This Row],[ Số lượng trúng thầu ]]*Table2[[#This Row],[Số tháng phát sinh]]/12/Table2[[#This Row],[Số tháng phát sinh]],0)</f>
        <v>1</v>
      </c>
      <c r="AL91" s="34">
        <f>ROUNDUP(Table2[[#This Row],[ Số lượng trúng thầu ]]*Table2[[#This Row],[Số tháng phát sinh]]/12/Table2[[#This Row],[Số tháng phát sinh]],0)</f>
        <v>1</v>
      </c>
      <c r="AM91" s="34">
        <f>ROUNDUP(Table2[[#This Row],[ Số lượng trúng thầu ]]*Table2[[#This Row],[Số tháng phát sinh]]/12/Table2[[#This Row],[Số tháng phát sinh]],0)</f>
        <v>1</v>
      </c>
      <c r="AN91" s="34">
        <f>ROUNDUP(Table2[[#This Row],[ Số lượng trúng thầu ]]*Table2[[#This Row],[Số tháng phát sinh]]/12/Table2[[#This Row],[Số tháng phát sinh]],0)</f>
        <v>1</v>
      </c>
    </row>
    <row r="92" spans="1:40" x14ac:dyDescent="0.35">
      <c r="A92" s="26">
        <v>11</v>
      </c>
      <c r="B92" s="26">
        <v>2025</v>
      </c>
      <c r="C92" s="26" t="s">
        <v>165</v>
      </c>
      <c r="D92" s="26" t="s">
        <v>189</v>
      </c>
      <c r="E92" s="26" t="s">
        <v>190</v>
      </c>
      <c r="F92" s="26" t="s">
        <v>334</v>
      </c>
      <c r="G92" s="26" t="s">
        <v>57</v>
      </c>
      <c r="H92" s="26" t="s">
        <v>176</v>
      </c>
      <c r="I92" s="26" t="s">
        <v>177</v>
      </c>
      <c r="J92" s="31" t="s">
        <v>9</v>
      </c>
      <c r="K92" s="26" t="s">
        <v>171</v>
      </c>
      <c r="L92" s="26" t="s">
        <v>178</v>
      </c>
      <c r="M92" s="26" t="s">
        <v>173</v>
      </c>
      <c r="N92" s="26">
        <v>5000</v>
      </c>
      <c r="O92" s="26">
        <v>106</v>
      </c>
      <c r="P92" s="27">
        <v>1830000</v>
      </c>
      <c r="Q92" s="27" t="s">
        <v>183</v>
      </c>
      <c r="R92" s="28">
        <v>1450000</v>
      </c>
      <c r="S92" s="29">
        <v>193980000</v>
      </c>
      <c r="T92" s="29">
        <f t="shared" si="4"/>
        <v>153700000</v>
      </c>
      <c r="U92" s="30">
        <v>0.14000000000000001</v>
      </c>
      <c r="V92" s="26" t="s">
        <v>335</v>
      </c>
      <c r="W92" s="31">
        <v>4</v>
      </c>
      <c r="X92" s="28">
        <f t="shared" si="5"/>
        <v>51233333.333333336</v>
      </c>
      <c r="Y92" s="32">
        <f>VLOOKUP(Q92,'[3]DATA VALID'!M:O,3,FALSE)</f>
        <v>0.1</v>
      </c>
      <c r="Z92" s="33">
        <f>(R92-VLOOKUP(J92,'[3]DATA VALID'!G:K,5,FALSE))/R92-Y92*1.24</f>
        <v>0.45095172413793105</v>
      </c>
      <c r="AA92" s="33"/>
      <c r="AB92" s="33"/>
      <c r="AC92" s="33"/>
      <c r="AD92" s="33"/>
      <c r="AE92" s="34"/>
      <c r="AF92" s="34"/>
      <c r="AG92" s="34"/>
      <c r="AH92" s="34"/>
      <c r="AI92" s="34">
        <f>ROUNDUP(Table2[[#This Row],[ Số lượng trúng thầu ]]*Table2[[#This Row],[Số tháng phát sinh]]/12/Table2[[#This Row],[Số tháng phát sinh]],0)</f>
        <v>9</v>
      </c>
      <c r="AJ92" s="34">
        <f>ROUNDUP(Table2[[#This Row],[ Số lượng trúng thầu ]]*Table2[[#This Row],[Số tháng phát sinh]]/12/Table2[[#This Row],[Số tháng phát sinh]],0)</f>
        <v>9</v>
      </c>
      <c r="AK92" s="34">
        <f>ROUNDUP(Table2[[#This Row],[ Số lượng trúng thầu ]]*Table2[[#This Row],[Số tháng phát sinh]]/12/Table2[[#This Row],[Số tháng phát sinh]],0)</f>
        <v>9</v>
      </c>
      <c r="AL92" s="34">
        <f>ROUNDUP(Table2[[#This Row],[ Số lượng trúng thầu ]]*Table2[[#This Row],[Số tháng phát sinh]]/12/Table2[[#This Row],[Số tháng phát sinh]],0)</f>
        <v>9</v>
      </c>
      <c r="AM92" s="34">
        <f>ROUNDUP(Table2[[#This Row],[ Số lượng trúng thầu ]]*Table2[[#This Row],[Số tháng phát sinh]]/12/Table2[[#This Row],[Số tháng phát sinh]],0)</f>
        <v>9</v>
      </c>
      <c r="AN92" s="34">
        <f>ROUNDUP(Table2[[#This Row],[ Số lượng trúng thầu ]]*Table2[[#This Row],[Số tháng phát sinh]]/12/Table2[[#This Row],[Số tháng phát sinh]],0)</f>
        <v>9</v>
      </c>
    </row>
    <row r="93" spans="1:40" x14ac:dyDescent="0.35">
      <c r="A93" s="26">
        <v>11</v>
      </c>
      <c r="B93" s="26">
        <v>2025</v>
      </c>
      <c r="C93" s="26" t="s">
        <v>165</v>
      </c>
      <c r="D93" s="26" t="s">
        <v>189</v>
      </c>
      <c r="E93" s="26" t="s">
        <v>202</v>
      </c>
      <c r="F93" s="26" t="s">
        <v>336</v>
      </c>
      <c r="G93" s="26" t="s">
        <v>22</v>
      </c>
      <c r="H93" s="26" t="s">
        <v>192</v>
      </c>
      <c r="I93" s="26" t="s">
        <v>281</v>
      </c>
      <c r="J93" s="26" t="s">
        <v>4</v>
      </c>
      <c r="K93" s="26" t="s">
        <v>171</v>
      </c>
      <c r="L93" s="26" t="s">
        <v>172</v>
      </c>
      <c r="M93" s="26" t="s">
        <v>173</v>
      </c>
      <c r="N93" s="26">
        <v>3780</v>
      </c>
      <c r="O93" s="26">
        <v>125</v>
      </c>
      <c r="P93" s="27">
        <v>1050000</v>
      </c>
      <c r="Q93" s="27" t="s">
        <v>183</v>
      </c>
      <c r="R93" s="28">
        <v>980000</v>
      </c>
      <c r="S93" s="29">
        <v>131250000</v>
      </c>
      <c r="T93" s="29">
        <f t="shared" si="4"/>
        <v>122500000</v>
      </c>
      <c r="U93" s="30">
        <v>0.28999999999999998</v>
      </c>
      <c r="V93" s="26" t="s">
        <v>337</v>
      </c>
      <c r="W93" s="31">
        <v>4</v>
      </c>
      <c r="X93" s="28">
        <f t="shared" si="5"/>
        <v>40833333.333333336</v>
      </c>
      <c r="Y93" s="32">
        <f>VLOOKUP(Q93,'[3]DATA VALID'!M:O,3,FALSE)</f>
        <v>0.1</v>
      </c>
      <c r="Z93" s="33">
        <f>(R93-VLOOKUP(J93,'[3]DATA VALID'!G:K,5,FALSE))/R93-Y93*1.24</f>
        <v>0.37779489795918364</v>
      </c>
      <c r="AA93" s="33"/>
      <c r="AB93" s="33"/>
      <c r="AC93" s="33"/>
      <c r="AD93" s="33"/>
      <c r="AE93" s="34"/>
      <c r="AF93" s="34"/>
      <c r="AG93" s="34"/>
      <c r="AH93" s="34"/>
      <c r="AI93" s="34">
        <f>ROUNDUP(Table2[[#This Row],[ Số lượng trúng thầu ]]*Table2[[#This Row],[Số tháng phát sinh]]/12/Table2[[#This Row],[Số tháng phát sinh]],0)</f>
        <v>11</v>
      </c>
      <c r="AJ93" s="34">
        <f>ROUNDUP(Table2[[#This Row],[ Số lượng trúng thầu ]]*Table2[[#This Row],[Số tháng phát sinh]]/12/Table2[[#This Row],[Số tháng phát sinh]],0)</f>
        <v>11</v>
      </c>
      <c r="AK93" s="34">
        <f>ROUNDUP(Table2[[#This Row],[ Số lượng trúng thầu ]]*Table2[[#This Row],[Số tháng phát sinh]]/12/Table2[[#This Row],[Số tháng phát sinh]],0)</f>
        <v>11</v>
      </c>
      <c r="AL93" s="34">
        <f>ROUNDUP(Table2[[#This Row],[ Số lượng trúng thầu ]]*Table2[[#This Row],[Số tháng phát sinh]]/12/Table2[[#This Row],[Số tháng phát sinh]],0)</f>
        <v>11</v>
      </c>
      <c r="AM93" s="34">
        <f>ROUNDUP(Table2[[#This Row],[ Số lượng trúng thầu ]]*Table2[[#This Row],[Số tháng phát sinh]]/12/Table2[[#This Row],[Số tháng phát sinh]],0)</f>
        <v>11</v>
      </c>
      <c r="AN93" s="34">
        <f>ROUNDUP(Table2[[#This Row],[ Số lượng trúng thầu ]]*Table2[[#This Row],[Số tháng phát sinh]]/12/Table2[[#This Row],[Số tháng phát sinh]],0)</f>
        <v>11</v>
      </c>
    </row>
    <row r="94" spans="1:40" x14ac:dyDescent="0.35">
      <c r="A94" s="26">
        <v>10</v>
      </c>
      <c r="B94" s="26">
        <v>2025</v>
      </c>
      <c r="C94" s="26" t="s">
        <v>165</v>
      </c>
      <c r="D94" s="26" t="s">
        <v>166</v>
      </c>
      <c r="E94" s="26" t="s">
        <v>211</v>
      </c>
      <c r="F94" s="26" t="s">
        <v>338</v>
      </c>
      <c r="G94" s="26" t="s">
        <v>44</v>
      </c>
      <c r="H94" s="26" t="s">
        <v>176</v>
      </c>
      <c r="I94" s="26" t="s">
        <v>300</v>
      </c>
      <c r="J94" s="31" t="s">
        <v>5</v>
      </c>
      <c r="K94" s="26" t="s">
        <v>171</v>
      </c>
      <c r="L94" s="26" t="s">
        <v>178</v>
      </c>
      <c r="M94" s="26" t="s">
        <v>173</v>
      </c>
      <c r="N94" s="26">
        <v>1000</v>
      </c>
      <c r="O94" s="26">
        <v>100</v>
      </c>
      <c r="P94" s="27">
        <v>577668</v>
      </c>
      <c r="Q94" s="27" t="s">
        <v>183</v>
      </c>
      <c r="R94" s="27">
        <v>530000</v>
      </c>
      <c r="S94" s="29">
        <v>57766800</v>
      </c>
      <c r="T94" s="29">
        <f t="shared" si="4"/>
        <v>53000000</v>
      </c>
      <c r="U94" s="30">
        <v>0.25</v>
      </c>
      <c r="V94" s="26" t="s">
        <v>244</v>
      </c>
      <c r="W94" s="31">
        <v>5</v>
      </c>
      <c r="X94" s="28">
        <f t="shared" si="5"/>
        <v>22083333.333333332</v>
      </c>
      <c r="Y94" s="32">
        <f>VLOOKUP(Q94,'[3]DATA VALID'!M:O,3,FALSE)</f>
        <v>0.1</v>
      </c>
      <c r="Z94" s="33">
        <f>(R94-VLOOKUP(J94,'[3]DATA VALID'!G:K,5,FALSE))/R94-Y94*1.24</f>
        <v>0.41266981132075475</v>
      </c>
      <c r="AA94" s="33"/>
      <c r="AB94" s="33"/>
      <c r="AC94" s="33"/>
      <c r="AD94" s="33"/>
      <c r="AE94" s="34"/>
      <c r="AF94" s="34"/>
      <c r="AG94" s="34"/>
      <c r="AH94" s="34">
        <f>ROUNDUP(Table2[[#This Row],[ Số lượng trúng thầu ]]*Table2[[#This Row],[Số tháng phát sinh]]/12/Table2[[#This Row],[Số tháng phát sinh]],0)</f>
        <v>9</v>
      </c>
      <c r="AI94" s="34">
        <f>ROUNDUP(Table2[[#This Row],[ Số lượng trúng thầu ]]*Table2[[#This Row],[Số tháng phát sinh]]/12/Table2[[#This Row],[Số tháng phát sinh]],0)</f>
        <v>9</v>
      </c>
      <c r="AJ94" s="34">
        <f>ROUNDUP(Table2[[#This Row],[ Số lượng trúng thầu ]]*Table2[[#This Row],[Số tháng phát sinh]]/12/Table2[[#This Row],[Số tháng phát sinh]],0)</f>
        <v>9</v>
      </c>
      <c r="AK94" s="34">
        <f>ROUNDUP(Table2[[#This Row],[ Số lượng trúng thầu ]]*Table2[[#This Row],[Số tháng phát sinh]]/12/Table2[[#This Row],[Số tháng phát sinh]],0)</f>
        <v>9</v>
      </c>
      <c r="AL94" s="34">
        <f>ROUNDUP(Table2[[#This Row],[ Số lượng trúng thầu ]]*Table2[[#This Row],[Số tháng phát sinh]]/12/Table2[[#This Row],[Số tháng phát sinh]],0)</f>
        <v>9</v>
      </c>
      <c r="AM94" s="34">
        <f>ROUNDUP(Table2[[#This Row],[ Số lượng trúng thầu ]]*Table2[[#This Row],[Số tháng phát sinh]]/12/Table2[[#This Row],[Số tháng phát sinh]],0)</f>
        <v>9</v>
      </c>
      <c r="AN94" s="34">
        <f>ROUNDUP(Table2[[#This Row],[ Số lượng trúng thầu ]]*Table2[[#This Row],[Số tháng phát sinh]]/12/Table2[[#This Row],[Số tháng phát sinh]],0)</f>
        <v>9</v>
      </c>
    </row>
    <row r="95" spans="1:40" x14ac:dyDescent="0.35">
      <c r="A95" s="26">
        <v>11</v>
      </c>
      <c r="B95" s="26">
        <v>2025</v>
      </c>
      <c r="C95" s="26" t="s">
        <v>165</v>
      </c>
      <c r="D95" s="26" t="s">
        <v>189</v>
      </c>
      <c r="E95" s="26" t="s">
        <v>208</v>
      </c>
      <c r="F95" s="26" t="s">
        <v>339</v>
      </c>
      <c r="G95" s="26" t="s">
        <v>287</v>
      </c>
      <c r="H95" s="26" t="s">
        <v>176</v>
      </c>
      <c r="I95" s="26" t="s">
        <v>213</v>
      </c>
      <c r="J95" s="31" t="s">
        <v>10</v>
      </c>
      <c r="K95" s="26" t="s">
        <v>186</v>
      </c>
      <c r="L95" s="26" t="s">
        <v>200</v>
      </c>
      <c r="M95" s="26" t="s">
        <v>173</v>
      </c>
      <c r="N95" s="26">
        <v>750</v>
      </c>
      <c r="O95" s="26">
        <v>291</v>
      </c>
      <c r="P95" s="27">
        <v>546667</v>
      </c>
      <c r="Q95" s="27" t="s">
        <v>183</v>
      </c>
      <c r="R95" s="28">
        <v>360000</v>
      </c>
      <c r="S95" s="29">
        <v>159080097</v>
      </c>
      <c r="T95" s="29">
        <f t="shared" si="4"/>
        <v>104760000</v>
      </c>
      <c r="U95" s="30">
        <v>0.69</v>
      </c>
      <c r="V95" s="26" t="s">
        <v>340</v>
      </c>
      <c r="W95" s="31">
        <v>4</v>
      </c>
      <c r="X95" s="28">
        <f t="shared" si="5"/>
        <v>34920000</v>
      </c>
      <c r="Y95" s="32">
        <f>VLOOKUP(Q95,'[3]DATA VALID'!M:O,3,FALSE)</f>
        <v>0.1</v>
      </c>
      <c r="Z95" s="33">
        <f>(R95-VLOOKUP(J95,'[3]DATA VALID'!G:K,5,FALSE))/R95-Y95*1.24</f>
        <v>0.56480833333333336</v>
      </c>
      <c r="AA95" s="33"/>
      <c r="AB95" s="33"/>
      <c r="AC95" s="33"/>
      <c r="AD95" s="33"/>
      <c r="AE95" s="34"/>
      <c r="AF95" s="34"/>
      <c r="AG95" s="34"/>
      <c r="AH95" s="34"/>
      <c r="AI95" s="34">
        <f>ROUNDUP(Table2[[#This Row],[ Số lượng trúng thầu ]]*Table2[[#This Row],[Số tháng phát sinh]]/12/Table2[[#This Row],[Số tháng phát sinh]],0)</f>
        <v>25</v>
      </c>
      <c r="AJ95" s="34">
        <f>ROUNDUP(Table2[[#This Row],[ Số lượng trúng thầu ]]*Table2[[#This Row],[Số tháng phát sinh]]/12/Table2[[#This Row],[Số tháng phát sinh]],0)</f>
        <v>25</v>
      </c>
      <c r="AK95" s="34">
        <f>ROUNDUP(Table2[[#This Row],[ Số lượng trúng thầu ]]*Table2[[#This Row],[Số tháng phát sinh]]/12/Table2[[#This Row],[Số tháng phát sinh]],0)</f>
        <v>25</v>
      </c>
      <c r="AL95" s="34">
        <f>ROUNDUP(Table2[[#This Row],[ Số lượng trúng thầu ]]*Table2[[#This Row],[Số tháng phát sinh]]/12/Table2[[#This Row],[Số tháng phát sinh]],0)</f>
        <v>25</v>
      </c>
      <c r="AM95" s="34">
        <f>ROUNDUP(Table2[[#This Row],[ Số lượng trúng thầu ]]*Table2[[#This Row],[Số tháng phát sinh]]/12/Table2[[#This Row],[Số tháng phát sinh]],0)</f>
        <v>25</v>
      </c>
      <c r="AN95" s="34">
        <f>ROUNDUP(Table2[[#This Row],[ Số lượng trúng thầu ]]*Table2[[#This Row],[Số tháng phát sinh]]/12/Table2[[#This Row],[Số tháng phát sinh]],0)</f>
        <v>25</v>
      </c>
    </row>
    <row r="96" spans="1:40" x14ac:dyDescent="0.35">
      <c r="A96" s="26">
        <v>11</v>
      </c>
      <c r="B96" s="26">
        <v>2025</v>
      </c>
      <c r="C96" s="26" t="s">
        <v>165</v>
      </c>
      <c r="D96" s="26" t="s">
        <v>189</v>
      </c>
      <c r="E96" s="26" t="s">
        <v>194</v>
      </c>
      <c r="F96" s="26" t="s">
        <v>341</v>
      </c>
      <c r="G96" s="26" t="s">
        <v>21</v>
      </c>
      <c r="H96" s="26" t="s">
        <v>192</v>
      </c>
      <c r="I96" s="26" t="s">
        <v>281</v>
      </c>
      <c r="J96" s="26" t="s">
        <v>4</v>
      </c>
      <c r="K96" s="26" t="s">
        <v>171</v>
      </c>
      <c r="L96" s="26" t="s">
        <v>172</v>
      </c>
      <c r="M96" s="26" t="s">
        <v>173</v>
      </c>
      <c r="N96" s="26">
        <v>3780</v>
      </c>
      <c r="O96" s="26">
        <v>38</v>
      </c>
      <c r="P96" s="27">
        <v>291000</v>
      </c>
      <c r="Q96" s="27" t="s">
        <v>183</v>
      </c>
      <c r="R96" s="28">
        <f>980000/5</f>
        <v>196000</v>
      </c>
      <c r="S96" s="29">
        <v>10999800</v>
      </c>
      <c r="T96" s="29">
        <f t="shared" si="4"/>
        <v>7448000</v>
      </c>
      <c r="U96" s="30">
        <v>0.59</v>
      </c>
      <c r="V96" s="26" t="s">
        <v>342</v>
      </c>
      <c r="W96" s="31">
        <v>4</v>
      </c>
      <c r="X96" s="28">
        <f t="shared" si="5"/>
        <v>2482666.6666666665</v>
      </c>
      <c r="Y96" s="32">
        <f>VLOOKUP(Q96,'[3]DATA VALID'!M:O,3,FALSE)</f>
        <v>0.1</v>
      </c>
      <c r="Z96" s="33">
        <f>(R96*5-VLOOKUP(J96,'[3]DATA VALID'!G:K,5,FALSE))/(R96*5)-Y96*1.24</f>
        <v>0.37779489795918364</v>
      </c>
      <c r="AA96" s="33"/>
      <c r="AB96" s="33"/>
      <c r="AC96" s="33"/>
      <c r="AD96" s="33"/>
      <c r="AE96" s="34"/>
      <c r="AF96" s="34"/>
      <c r="AG96" s="34"/>
      <c r="AH96" s="34"/>
      <c r="AI96" s="34">
        <f>ROUNDUP(Table2[[#This Row],[ Số lượng trúng thầu ]]*Table2[[#This Row],[Số tháng phát sinh]]/12/Table2[[#This Row],[Số tháng phát sinh]],0)</f>
        <v>4</v>
      </c>
      <c r="AJ96" s="34">
        <f>ROUNDUP(Table2[[#This Row],[ Số lượng trúng thầu ]]*Table2[[#This Row],[Số tháng phát sinh]]/12/Table2[[#This Row],[Số tháng phát sinh]],0)</f>
        <v>4</v>
      </c>
      <c r="AK96" s="34">
        <f>ROUNDUP(Table2[[#This Row],[ Số lượng trúng thầu ]]*Table2[[#This Row],[Số tháng phát sinh]]/12/Table2[[#This Row],[Số tháng phát sinh]],0)</f>
        <v>4</v>
      </c>
      <c r="AL96" s="34">
        <f>ROUNDUP(Table2[[#This Row],[ Số lượng trúng thầu ]]*Table2[[#This Row],[Số tháng phát sinh]]/12/Table2[[#This Row],[Số tháng phát sinh]],0)</f>
        <v>4</v>
      </c>
      <c r="AM96" s="34">
        <f>ROUNDUP(Table2[[#This Row],[ Số lượng trúng thầu ]]*Table2[[#This Row],[Số tháng phát sinh]]/12/Table2[[#This Row],[Số tháng phát sinh]],0)</f>
        <v>4</v>
      </c>
      <c r="AN96" s="34">
        <f>ROUNDUP(Table2[[#This Row],[ Số lượng trúng thầu ]]*Table2[[#This Row],[Số tháng phát sinh]]/12/Table2[[#This Row],[Số tháng phát sinh]],0)</f>
        <v>4</v>
      </c>
    </row>
    <row r="97" spans="1:40" x14ac:dyDescent="0.35">
      <c r="A97" s="26">
        <v>11</v>
      </c>
      <c r="B97" s="26">
        <v>2025</v>
      </c>
      <c r="C97" s="26" t="s">
        <v>165</v>
      </c>
      <c r="D97" s="26" t="s">
        <v>189</v>
      </c>
      <c r="E97" s="26" t="s">
        <v>194</v>
      </c>
      <c r="F97" s="26" t="s">
        <v>341</v>
      </c>
      <c r="G97" s="26" t="s">
        <v>21</v>
      </c>
      <c r="H97" s="26" t="s">
        <v>176</v>
      </c>
      <c r="I97" s="26" t="s">
        <v>246</v>
      </c>
      <c r="J97" s="26" t="s">
        <v>11</v>
      </c>
      <c r="K97" s="26" t="s">
        <v>171</v>
      </c>
      <c r="L97" s="26" t="s">
        <v>172</v>
      </c>
      <c r="M97" s="26" t="s">
        <v>173</v>
      </c>
      <c r="N97" s="26">
        <v>1000</v>
      </c>
      <c r="O97" s="26">
        <v>15</v>
      </c>
      <c r="P97" s="27">
        <v>84000</v>
      </c>
      <c r="Q97" s="27" t="s">
        <v>183</v>
      </c>
      <c r="R97" s="28">
        <f>428925/5</f>
        <v>85785</v>
      </c>
      <c r="S97" s="29">
        <v>1260000</v>
      </c>
      <c r="T97" s="29">
        <f t="shared" si="4"/>
        <v>1286775</v>
      </c>
      <c r="U97" s="30">
        <v>7.0000000000000007E-2</v>
      </c>
      <c r="V97" s="26" t="s">
        <v>343</v>
      </c>
      <c r="W97" s="31">
        <v>4</v>
      </c>
      <c r="X97" s="28">
        <f t="shared" si="5"/>
        <v>428925</v>
      </c>
      <c r="Y97" s="32">
        <f>VLOOKUP(Q97,'[3]DATA VALID'!M:O,3,FALSE)</f>
        <v>0.1</v>
      </c>
      <c r="Z97" s="33">
        <f>(R97*5-VLOOKUP(J97,'[3]DATA VALID'!G:K,5,FALSE))/(R97*5)-Y97*1.24</f>
        <v>0.42921559713236579</v>
      </c>
      <c r="AA97" s="33"/>
      <c r="AB97" s="33"/>
      <c r="AC97" s="33"/>
      <c r="AD97" s="33"/>
      <c r="AE97" s="34"/>
      <c r="AF97" s="34"/>
      <c r="AG97" s="34"/>
      <c r="AH97" s="34"/>
      <c r="AI97" s="34">
        <f>ROUNDUP(Table2[[#This Row],[ Số lượng trúng thầu ]]*Table2[[#This Row],[Số tháng phát sinh]]/12/Table2[[#This Row],[Số tháng phát sinh]],0)</f>
        <v>2</v>
      </c>
      <c r="AJ97" s="34">
        <f>ROUNDUP(Table2[[#This Row],[ Số lượng trúng thầu ]]*Table2[[#This Row],[Số tháng phát sinh]]/12/Table2[[#This Row],[Số tháng phát sinh]],0)</f>
        <v>2</v>
      </c>
      <c r="AK97" s="34">
        <f>ROUNDUP(Table2[[#This Row],[ Số lượng trúng thầu ]]*Table2[[#This Row],[Số tháng phát sinh]]/12/Table2[[#This Row],[Số tháng phát sinh]],0)</f>
        <v>2</v>
      </c>
      <c r="AL97" s="34">
        <f>ROUNDUP(Table2[[#This Row],[ Số lượng trúng thầu ]]*Table2[[#This Row],[Số tháng phát sinh]]/12/Table2[[#This Row],[Số tháng phát sinh]],0)</f>
        <v>2</v>
      </c>
      <c r="AM97" s="34">
        <f>ROUNDUP(Table2[[#This Row],[ Số lượng trúng thầu ]]*Table2[[#This Row],[Số tháng phát sinh]]/12/Table2[[#This Row],[Số tháng phát sinh]],0)</f>
        <v>2</v>
      </c>
      <c r="AN97" s="34">
        <f>ROUNDUP(Table2[[#This Row],[ Số lượng trúng thầu ]]*Table2[[#This Row],[Số tháng phát sinh]]/12/Table2[[#This Row],[Số tháng phát sinh]],0)</f>
        <v>2</v>
      </c>
    </row>
    <row r="98" spans="1:40" x14ac:dyDescent="0.35">
      <c r="A98" s="26">
        <v>11</v>
      </c>
      <c r="B98" s="26">
        <v>2025</v>
      </c>
      <c r="C98" s="26" t="s">
        <v>165</v>
      </c>
      <c r="D98" s="26" t="s">
        <v>189</v>
      </c>
      <c r="E98" s="26" t="s">
        <v>194</v>
      </c>
      <c r="F98" s="26" t="s">
        <v>341</v>
      </c>
      <c r="G98" s="26" t="s">
        <v>21</v>
      </c>
      <c r="H98" s="26" t="s">
        <v>192</v>
      </c>
      <c r="I98" s="26" t="s">
        <v>217</v>
      </c>
      <c r="J98" s="31" t="s">
        <v>6</v>
      </c>
      <c r="K98" s="26" t="s">
        <v>171</v>
      </c>
      <c r="L98" s="26" t="s">
        <v>178</v>
      </c>
      <c r="M98" s="26" t="s">
        <v>173</v>
      </c>
      <c r="N98" s="26">
        <v>1000</v>
      </c>
      <c r="O98" s="26">
        <v>10</v>
      </c>
      <c r="P98" s="27">
        <v>650000</v>
      </c>
      <c r="Q98" s="27" t="s">
        <v>183</v>
      </c>
      <c r="R98" s="28">
        <v>440000</v>
      </c>
      <c r="S98" s="29">
        <v>6500000</v>
      </c>
      <c r="T98" s="29">
        <f t="shared" si="4"/>
        <v>4400000</v>
      </c>
      <c r="U98" s="30">
        <v>0.35</v>
      </c>
      <c r="V98" s="26" t="s">
        <v>344</v>
      </c>
      <c r="W98" s="31">
        <v>4</v>
      </c>
      <c r="X98" s="28">
        <f t="shared" si="5"/>
        <v>1466666.6666666667</v>
      </c>
      <c r="Y98" s="32">
        <f>VLOOKUP(Q98,'[3]DATA VALID'!M:O,3,FALSE)</f>
        <v>0.1</v>
      </c>
      <c r="Z98" s="33">
        <f>(R98-VLOOKUP(J98,'[3]DATA VALID'!G:K,5,FALSE))/R98-Y98*1.24</f>
        <v>0.40493249999999992</v>
      </c>
      <c r="AA98" s="33"/>
      <c r="AB98" s="33"/>
      <c r="AC98" s="33"/>
      <c r="AD98" s="33"/>
      <c r="AE98" s="34"/>
      <c r="AF98" s="34"/>
      <c r="AG98" s="34"/>
      <c r="AH98" s="34"/>
      <c r="AI98" s="34">
        <f>ROUNDUP(Table2[[#This Row],[ Số lượng trúng thầu ]]*Table2[[#This Row],[Số tháng phát sinh]]/12/Table2[[#This Row],[Số tháng phát sinh]],0)</f>
        <v>1</v>
      </c>
      <c r="AJ98" s="34">
        <f>ROUNDUP(Table2[[#This Row],[ Số lượng trúng thầu ]]*Table2[[#This Row],[Số tháng phát sinh]]/12/Table2[[#This Row],[Số tháng phát sinh]],0)</f>
        <v>1</v>
      </c>
      <c r="AK98" s="34">
        <f>ROUNDUP(Table2[[#This Row],[ Số lượng trúng thầu ]]*Table2[[#This Row],[Số tháng phát sinh]]/12/Table2[[#This Row],[Số tháng phát sinh]],0)</f>
        <v>1</v>
      </c>
      <c r="AL98" s="34">
        <f>ROUNDUP(Table2[[#This Row],[ Số lượng trúng thầu ]]*Table2[[#This Row],[Số tháng phát sinh]]/12/Table2[[#This Row],[Số tháng phát sinh]],0)</f>
        <v>1</v>
      </c>
      <c r="AM98" s="34">
        <f>ROUNDUP(Table2[[#This Row],[ Số lượng trúng thầu ]]*Table2[[#This Row],[Số tháng phát sinh]]/12/Table2[[#This Row],[Số tháng phát sinh]],0)</f>
        <v>1</v>
      </c>
      <c r="AN98" s="34">
        <f>ROUNDUP(Table2[[#This Row],[ Số lượng trúng thầu ]]*Table2[[#This Row],[Số tháng phát sinh]]/12/Table2[[#This Row],[Số tháng phát sinh]],0)</f>
        <v>1</v>
      </c>
    </row>
    <row r="99" spans="1:40" x14ac:dyDescent="0.35">
      <c r="A99" s="26">
        <v>12</v>
      </c>
      <c r="B99" s="26">
        <v>2025</v>
      </c>
      <c r="C99" s="26" t="s">
        <v>165</v>
      </c>
      <c r="D99" s="26" t="s">
        <v>166</v>
      </c>
      <c r="E99" s="26" t="s">
        <v>167</v>
      </c>
      <c r="F99" s="26" t="s">
        <v>345</v>
      </c>
      <c r="G99" s="26" t="s">
        <v>34</v>
      </c>
      <c r="H99" s="26" t="s">
        <v>220</v>
      </c>
      <c r="I99" s="26" t="s">
        <v>294</v>
      </c>
      <c r="J99" s="26" t="str">
        <f>VLOOKUP(I99,'[3]DATA VALID'!A:B,2,FALSE)</f>
        <v>Exeol wipe optimal</v>
      </c>
      <c r="K99" s="26" t="s">
        <v>186</v>
      </c>
      <c r="L99" s="26" t="s">
        <v>187</v>
      </c>
      <c r="M99" s="26" t="s">
        <v>173</v>
      </c>
      <c r="N99" s="26">
        <v>100</v>
      </c>
      <c r="O99" s="26">
        <v>450</v>
      </c>
      <c r="P99" s="27">
        <v>280000</v>
      </c>
      <c r="Q99" s="27" t="s">
        <v>183</v>
      </c>
      <c r="R99" s="28">
        <v>245000</v>
      </c>
      <c r="S99" s="29">
        <v>126000000</v>
      </c>
      <c r="T99" s="29">
        <f t="shared" si="4"/>
        <v>110250000</v>
      </c>
      <c r="U99" s="30">
        <v>1</v>
      </c>
      <c r="V99" s="26" t="s">
        <v>346</v>
      </c>
      <c r="W99" s="31">
        <v>3</v>
      </c>
      <c r="X99" s="28">
        <f t="shared" si="5"/>
        <v>27562500</v>
      </c>
      <c r="Y99" s="32">
        <f>VLOOKUP(Q99,'[3]DATA VALID'!M:O,3,FALSE)</f>
        <v>0.1</v>
      </c>
      <c r="Z99" s="33">
        <f>(R99-VLOOKUP(J99,'[3]DATA VALID'!G:K,5,FALSE))/R99-Y99*1.24</f>
        <v>0.36423428571428568</v>
      </c>
      <c r="AA99" s="33"/>
      <c r="AB99" s="33"/>
      <c r="AC99" s="33"/>
      <c r="AD99" s="33"/>
      <c r="AE99" s="34"/>
      <c r="AF99" s="34"/>
      <c r="AG99" s="34"/>
      <c r="AH99" s="34"/>
      <c r="AI99" s="34"/>
      <c r="AJ99" s="34">
        <f>ROUNDUP(Table2[[#This Row],[ Số lượng trúng thầu ]]*Table2[[#This Row],[Số tháng phát sinh]]/12/Table2[[#This Row],[Số tháng phát sinh]],0)</f>
        <v>38</v>
      </c>
      <c r="AK99" s="34">
        <f>ROUNDUP(Table2[[#This Row],[ Số lượng trúng thầu ]]*Table2[[#This Row],[Số tháng phát sinh]]/12/Table2[[#This Row],[Số tháng phát sinh]],0)</f>
        <v>38</v>
      </c>
      <c r="AL99" s="34">
        <f>ROUNDUP(Table2[[#This Row],[ Số lượng trúng thầu ]]*Table2[[#This Row],[Số tháng phát sinh]]/12/Table2[[#This Row],[Số tháng phát sinh]],0)</f>
        <v>38</v>
      </c>
      <c r="AM99" s="34">
        <f>ROUNDUP(Table2[[#This Row],[ Số lượng trúng thầu ]]*Table2[[#This Row],[Số tháng phát sinh]]/12/Table2[[#This Row],[Số tháng phát sinh]],0)</f>
        <v>38</v>
      </c>
      <c r="AN99" s="34">
        <f>ROUNDUP(Table2[[#This Row],[ Số lượng trúng thầu ]]*Table2[[#This Row],[Số tháng phát sinh]]/12/Table2[[#This Row],[Số tháng phát sinh]],0)</f>
        <v>38</v>
      </c>
    </row>
    <row r="100" spans="1:40" x14ac:dyDescent="0.35">
      <c r="A100" s="26">
        <v>12</v>
      </c>
      <c r="B100" s="26">
        <v>2025</v>
      </c>
      <c r="C100" s="26" t="s">
        <v>165</v>
      </c>
      <c r="D100" s="26" t="s">
        <v>166</v>
      </c>
      <c r="E100" s="26" t="s">
        <v>211</v>
      </c>
      <c r="F100" s="26" t="s">
        <v>347</v>
      </c>
      <c r="G100" s="26" t="s">
        <v>44</v>
      </c>
      <c r="H100" s="26" t="s">
        <v>176</v>
      </c>
      <c r="I100" s="26" t="s">
        <v>300</v>
      </c>
      <c r="J100" s="31" t="s">
        <v>5</v>
      </c>
      <c r="K100" s="26" t="s">
        <v>171</v>
      </c>
      <c r="L100" s="26" t="s">
        <v>178</v>
      </c>
      <c r="M100" s="26" t="s">
        <v>173</v>
      </c>
      <c r="N100" s="26">
        <v>1000</v>
      </c>
      <c r="O100" s="26">
        <v>100</v>
      </c>
      <c r="P100" s="27">
        <v>577668</v>
      </c>
      <c r="Q100" s="27" t="s">
        <v>183</v>
      </c>
      <c r="R100" s="27">
        <v>530000</v>
      </c>
      <c r="S100" s="29">
        <v>57766800</v>
      </c>
      <c r="T100" s="29">
        <f t="shared" si="4"/>
        <v>53000000</v>
      </c>
      <c r="U100" s="30">
        <v>0.25</v>
      </c>
      <c r="V100" s="26" t="s">
        <v>210</v>
      </c>
      <c r="W100" s="31">
        <v>3</v>
      </c>
      <c r="X100" s="28">
        <f t="shared" si="5"/>
        <v>13250000</v>
      </c>
      <c r="Y100" s="32">
        <f>VLOOKUP(Q100,'[3]DATA VALID'!M:O,3,FALSE)</f>
        <v>0.1</v>
      </c>
      <c r="Z100" s="33">
        <f>(R100-VLOOKUP(J100,'[3]DATA VALID'!G:K,5,FALSE))/R100-Y100*1.24</f>
        <v>0.41266981132075475</v>
      </c>
      <c r="AA100" s="33"/>
      <c r="AB100" s="33"/>
      <c r="AC100" s="33"/>
      <c r="AD100" s="33"/>
      <c r="AE100" s="34"/>
      <c r="AF100" s="34"/>
      <c r="AG100" s="34"/>
      <c r="AH100" s="34"/>
      <c r="AI100" s="34"/>
      <c r="AJ100" s="34">
        <f>ROUNDUP(Table2[[#This Row],[ Số lượng trúng thầu ]]*Table2[[#This Row],[Số tháng phát sinh]]/12/Table2[[#This Row],[Số tháng phát sinh]],0)</f>
        <v>9</v>
      </c>
      <c r="AK100" s="34">
        <f>ROUNDUP(Table2[[#This Row],[ Số lượng trúng thầu ]]*Table2[[#This Row],[Số tháng phát sinh]]/12/Table2[[#This Row],[Số tháng phát sinh]],0)</f>
        <v>9</v>
      </c>
      <c r="AL100" s="34">
        <f>ROUNDUP(Table2[[#This Row],[ Số lượng trúng thầu ]]*Table2[[#This Row],[Số tháng phát sinh]]/12/Table2[[#This Row],[Số tháng phát sinh]],0)</f>
        <v>9</v>
      </c>
      <c r="AM100" s="34">
        <f>ROUNDUP(Table2[[#This Row],[ Số lượng trúng thầu ]]*Table2[[#This Row],[Số tháng phát sinh]]/12/Table2[[#This Row],[Số tháng phát sinh]],0)</f>
        <v>9</v>
      </c>
      <c r="AN100" s="34">
        <f>ROUNDUP(Table2[[#This Row],[ Số lượng trúng thầu ]]*Table2[[#This Row],[Số tháng phát sinh]]/12/Table2[[#This Row],[Số tháng phát sinh]],0)</f>
        <v>9</v>
      </c>
    </row>
    <row r="101" spans="1:40" x14ac:dyDescent="0.35">
      <c r="A101" s="26">
        <v>12</v>
      </c>
      <c r="B101" s="26">
        <v>2025</v>
      </c>
      <c r="C101" s="26" t="s">
        <v>165</v>
      </c>
      <c r="D101" s="26" t="s">
        <v>166</v>
      </c>
      <c r="E101" s="26" t="s">
        <v>167</v>
      </c>
      <c r="F101" s="26" t="s">
        <v>348</v>
      </c>
      <c r="G101" s="26" t="s">
        <v>42</v>
      </c>
      <c r="H101" s="26" t="s">
        <v>176</v>
      </c>
      <c r="I101" s="26" t="s">
        <v>300</v>
      </c>
      <c r="J101" s="31" t="s">
        <v>5</v>
      </c>
      <c r="K101" s="26" t="s">
        <v>171</v>
      </c>
      <c r="L101" s="26" t="s">
        <v>178</v>
      </c>
      <c r="M101" s="26" t="s">
        <v>173</v>
      </c>
      <c r="N101" s="26">
        <v>1000</v>
      </c>
      <c r="O101" s="26">
        <v>20</v>
      </c>
      <c r="P101" s="27">
        <v>577668</v>
      </c>
      <c r="Q101" s="27" t="s">
        <v>183</v>
      </c>
      <c r="R101" s="27">
        <v>530000</v>
      </c>
      <c r="S101" s="29">
        <v>11553360</v>
      </c>
      <c r="T101" s="29">
        <f t="shared" si="4"/>
        <v>10600000</v>
      </c>
      <c r="U101" s="30">
        <v>0.44</v>
      </c>
      <c r="V101" s="26" t="s">
        <v>349</v>
      </c>
      <c r="W101" s="31">
        <v>3</v>
      </c>
      <c r="X101" s="28">
        <f t="shared" si="5"/>
        <v>2650000</v>
      </c>
      <c r="Y101" s="32">
        <f>VLOOKUP(Q101,'[3]DATA VALID'!M:O,3,FALSE)</f>
        <v>0.1</v>
      </c>
      <c r="Z101" s="33">
        <f>(R101-VLOOKUP(J101,'[3]DATA VALID'!G:K,5,FALSE))/R101-Y101*1.24</f>
        <v>0.41266981132075475</v>
      </c>
      <c r="AA101" s="33"/>
      <c r="AB101" s="33"/>
      <c r="AC101" s="33"/>
      <c r="AD101" s="33"/>
      <c r="AE101" s="34"/>
      <c r="AF101" s="34"/>
      <c r="AG101" s="34"/>
      <c r="AH101" s="34"/>
      <c r="AI101" s="34"/>
      <c r="AJ101" s="34">
        <f>ROUNDUP(Table2[[#This Row],[ Số lượng trúng thầu ]]*Table2[[#This Row],[Số tháng phát sinh]]/12/Table2[[#This Row],[Số tháng phát sinh]],0)</f>
        <v>2</v>
      </c>
      <c r="AK101" s="34">
        <f>ROUNDUP(Table2[[#This Row],[ Số lượng trúng thầu ]]*Table2[[#This Row],[Số tháng phát sinh]]/12/Table2[[#This Row],[Số tháng phát sinh]],0)</f>
        <v>2</v>
      </c>
      <c r="AL101" s="34">
        <f>ROUNDUP(Table2[[#This Row],[ Số lượng trúng thầu ]]*Table2[[#This Row],[Số tháng phát sinh]]/12/Table2[[#This Row],[Số tháng phát sinh]],0)</f>
        <v>2</v>
      </c>
      <c r="AM101" s="34">
        <f>ROUNDUP(Table2[[#This Row],[ Số lượng trúng thầu ]]*Table2[[#This Row],[Số tháng phát sinh]]/12/Table2[[#This Row],[Số tháng phát sinh]],0)</f>
        <v>2</v>
      </c>
      <c r="AN101" s="34">
        <f>ROUNDUP(Table2[[#This Row],[ Số lượng trúng thầu ]]*Table2[[#This Row],[Số tháng phát sinh]]/12/Table2[[#This Row],[Số tháng phát sinh]],0)</f>
        <v>2</v>
      </c>
    </row>
    <row r="102" spans="1:40" x14ac:dyDescent="0.35">
      <c r="A102" s="26">
        <v>6</v>
      </c>
      <c r="B102" s="26">
        <v>2025</v>
      </c>
      <c r="C102" s="26" t="s">
        <v>165</v>
      </c>
      <c r="D102" s="26" t="s">
        <v>166</v>
      </c>
      <c r="E102" s="26" t="s">
        <v>311</v>
      </c>
      <c r="F102" s="26" t="s">
        <v>350</v>
      </c>
      <c r="G102" s="26" t="s">
        <v>30</v>
      </c>
      <c r="H102" s="26" t="s">
        <v>176</v>
      </c>
      <c r="I102" s="26" t="s">
        <v>177</v>
      </c>
      <c r="J102" s="31" t="s">
        <v>9</v>
      </c>
      <c r="K102" s="26" t="s">
        <v>171</v>
      </c>
      <c r="L102" s="26" t="s">
        <v>178</v>
      </c>
      <c r="M102" s="26" t="s">
        <v>173</v>
      </c>
      <c r="N102" s="26">
        <v>5000</v>
      </c>
      <c r="O102" s="26">
        <v>18</v>
      </c>
      <c r="P102" s="27">
        <v>1625000</v>
      </c>
      <c r="Q102" s="27" t="s">
        <v>183</v>
      </c>
      <c r="R102" s="28">
        <v>1450000</v>
      </c>
      <c r="S102" s="29">
        <v>29250000</v>
      </c>
      <c r="T102" s="29">
        <f t="shared" si="4"/>
        <v>26100000</v>
      </c>
      <c r="U102" s="30">
        <v>0.06</v>
      </c>
      <c r="V102" s="26" t="s">
        <v>351</v>
      </c>
      <c r="W102" s="31">
        <v>9</v>
      </c>
      <c r="X102" s="28">
        <f t="shared" si="5"/>
        <v>19575000</v>
      </c>
      <c r="Y102" s="32">
        <f>VLOOKUP(Q102,'[3]DATA VALID'!M:O,3,FALSE)</f>
        <v>0.1</v>
      </c>
      <c r="Z102" s="33">
        <f>(R102-VLOOKUP(J102,'[3]DATA VALID'!G:K,5,FALSE))/R102-Y102*1.24</f>
        <v>0.45095172413793105</v>
      </c>
      <c r="AA102" s="33"/>
      <c r="AB102" s="33"/>
      <c r="AC102" s="33"/>
      <c r="AD102" s="33"/>
      <c r="AE102" s="34">
        <f>ROUNDUP(Table2[[#This Row],[ Số lượng trúng thầu ]]*Table2[[#This Row],[Số tháng phát sinh]]/12/9,0)</f>
        <v>2</v>
      </c>
      <c r="AF102" s="34">
        <f>ROUNDUP(Table2[[#This Row],[ Số lượng trúng thầu ]]*Table2[[#This Row],[Số tháng phát sinh]]/12/9,0)</f>
        <v>2</v>
      </c>
      <c r="AG102" s="34">
        <f>ROUNDUP(Table2[[#This Row],[ Số lượng trúng thầu ]]*Table2[[#This Row],[Số tháng phát sinh]]/12/9,0)</f>
        <v>2</v>
      </c>
      <c r="AH102" s="34">
        <f>ROUNDUP(Table2[[#This Row],[ Số lượng trúng thầu ]]*Table2[[#This Row],[Số tháng phát sinh]]/12/9,0)</f>
        <v>2</v>
      </c>
      <c r="AI102" s="34">
        <f>ROUNDUP(Table2[[#This Row],[ Số lượng trúng thầu ]]*Table2[[#This Row],[Số tháng phát sinh]]/12/9,0)</f>
        <v>2</v>
      </c>
      <c r="AJ102" s="34">
        <f>ROUNDUP(Table2[[#This Row],[ Số lượng trúng thầu ]]*Table2[[#This Row],[Số tháng phát sinh]]/12/9,0)</f>
        <v>2</v>
      </c>
      <c r="AK102" s="34">
        <f>ROUNDUP(Table2[[#This Row],[ Số lượng trúng thầu ]]*Table2[[#This Row],[Số tháng phát sinh]]/12/9,0)</f>
        <v>2</v>
      </c>
      <c r="AL102" s="34">
        <f>ROUNDUP(Table2[[#This Row],[ Số lượng trúng thầu ]]*Table2[[#This Row],[Số tháng phát sinh]]/12/9,0)</f>
        <v>2</v>
      </c>
      <c r="AM102" s="34">
        <f>ROUNDUP(Table2[[#This Row],[ Số lượng trúng thầu ]]*Table2[[#This Row],[Số tháng phát sinh]]/12/9,0)</f>
        <v>2</v>
      </c>
      <c r="AN102" s="34">
        <f>ROUNDUP(Table2[[#This Row],[ Số lượng trúng thầu ]]*Table2[[#This Row],[Số tháng phát sinh]]/12/9,0)</f>
        <v>2</v>
      </c>
    </row>
    <row r="103" spans="1:40" x14ac:dyDescent="0.35">
      <c r="A103" s="26">
        <v>6</v>
      </c>
      <c r="B103" s="26">
        <v>2025</v>
      </c>
      <c r="C103" s="26" t="s">
        <v>165</v>
      </c>
      <c r="D103" s="26" t="s">
        <v>166</v>
      </c>
      <c r="E103" s="26" t="s">
        <v>311</v>
      </c>
      <c r="F103" s="26" t="s">
        <v>350</v>
      </c>
      <c r="G103" s="26" t="s">
        <v>30</v>
      </c>
      <c r="H103" s="26" t="s">
        <v>176</v>
      </c>
      <c r="I103" s="26" t="s">
        <v>300</v>
      </c>
      <c r="J103" s="31" t="s">
        <v>14</v>
      </c>
      <c r="K103" s="26" t="s">
        <v>171</v>
      </c>
      <c r="L103" s="26" t="s">
        <v>178</v>
      </c>
      <c r="M103" s="26" t="s">
        <v>173</v>
      </c>
      <c r="N103" s="26">
        <v>5000</v>
      </c>
      <c r="O103" s="26">
        <v>14</v>
      </c>
      <c r="P103" s="27">
        <v>2645000</v>
      </c>
      <c r="Q103" s="27" t="s">
        <v>183</v>
      </c>
      <c r="R103" s="28">
        <v>2450000</v>
      </c>
      <c r="S103" s="29">
        <v>37030000</v>
      </c>
      <c r="T103" s="29">
        <f t="shared" si="4"/>
        <v>34300000</v>
      </c>
      <c r="U103" s="30">
        <v>0.08</v>
      </c>
      <c r="V103" s="26" t="s">
        <v>352</v>
      </c>
      <c r="W103" s="31">
        <v>9</v>
      </c>
      <c r="X103" s="28">
        <f t="shared" si="5"/>
        <v>25725000</v>
      </c>
      <c r="Y103" s="32">
        <f>VLOOKUP(Q103,'[3]DATA VALID'!M:O,3,FALSE)</f>
        <v>0.1</v>
      </c>
      <c r="Z103" s="33">
        <f>(R103-VLOOKUP(J103,'[3]DATA VALID'!G:K,5,FALSE))/R103-Y103*1.24</f>
        <v>0.40585946938775508</v>
      </c>
      <c r="AA103" s="33"/>
      <c r="AB103" s="33"/>
      <c r="AC103" s="33"/>
      <c r="AD103" s="33"/>
      <c r="AE103" s="34">
        <f>ROUNDUP(Table2[[#This Row],[ Số lượng trúng thầu ]]*Table2[[#This Row],[Số tháng phát sinh]]/12/9,0)</f>
        <v>2</v>
      </c>
      <c r="AF103" s="34">
        <f>ROUNDUP(Table2[[#This Row],[ Số lượng trúng thầu ]]*Table2[[#This Row],[Số tháng phát sinh]]/12/9,0)</f>
        <v>2</v>
      </c>
      <c r="AG103" s="34">
        <f>ROUNDUP(Table2[[#This Row],[ Số lượng trúng thầu ]]*Table2[[#This Row],[Số tháng phát sinh]]/12/9,0)</f>
        <v>2</v>
      </c>
      <c r="AH103" s="34">
        <f>ROUNDUP(Table2[[#This Row],[ Số lượng trúng thầu ]]*Table2[[#This Row],[Số tháng phát sinh]]/12/9,0)</f>
        <v>2</v>
      </c>
      <c r="AI103" s="34">
        <f>ROUNDUP(Table2[[#This Row],[ Số lượng trúng thầu ]]*Table2[[#This Row],[Số tháng phát sinh]]/12/9,0)</f>
        <v>2</v>
      </c>
      <c r="AJ103" s="34">
        <f>ROUNDUP(Table2[[#This Row],[ Số lượng trúng thầu ]]*Table2[[#This Row],[Số tháng phát sinh]]/12/9,0)</f>
        <v>2</v>
      </c>
      <c r="AK103" s="34">
        <f>ROUNDUP(Table2[[#This Row],[ Số lượng trúng thầu ]]*Table2[[#This Row],[Số tháng phát sinh]]/12/9,0)</f>
        <v>2</v>
      </c>
      <c r="AL103" s="34">
        <f>ROUNDUP(Table2[[#This Row],[ Số lượng trúng thầu ]]*Table2[[#This Row],[Số tháng phát sinh]]/12/9,0)</f>
        <v>2</v>
      </c>
      <c r="AM103" s="34">
        <f>ROUNDUP(Table2[[#This Row],[ Số lượng trúng thầu ]]*Table2[[#This Row],[Số tháng phát sinh]]/12/9,0)</f>
        <v>2</v>
      </c>
      <c r="AN103" s="34">
        <f>ROUNDUP(Table2[[#This Row],[ Số lượng trúng thầu ]]*Table2[[#This Row],[Số tháng phát sinh]]/12/9,0)</f>
        <v>2</v>
      </c>
    </row>
    <row r="104" spans="1:40" x14ac:dyDescent="0.35">
      <c r="A104" s="26">
        <v>6</v>
      </c>
      <c r="B104" s="26">
        <v>2025</v>
      </c>
      <c r="C104" s="26" t="s">
        <v>165</v>
      </c>
      <c r="D104" s="26" t="s">
        <v>166</v>
      </c>
      <c r="E104" s="26" t="s">
        <v>311</v>
      </c>
      <c r="F104" s="26" t="s">
        <v>350</v>
      </c>
      <c r="G104" s="26" t="s">
        <v>30</v>
      </c>
      <c r="H104" s="26" t="s">
        <v>192</v>
      </c>
      <c r="I104" s="26" t="s">
        <v>281</v>
      </c>
      <c r="J104" s="26" t="s">
        <v>4</v>
      </c>
      <c r="K104" s="26" t="s">
        <v>171</v>
      </c>
      <c r="L104" s="26" t="s">
        <v>172</v>
      </c>
      <c r="M104" s="26" t="s">
        <v>173</v>
      </c>
      <c r="N104" s="26">
        <v>3780</v>
      </c>
      <c r="O104" s="26">
        <v>194</v>
      </c>
      <c r="P104" s="27">
        <v>891030</v>
      </c>
      <c r="Q104" s="27" t="s">
        <v>183</v>
      </c>
      <c r="R104" s="28">
        <v>980000</v>
      </c>
      <c r="S104" s="29">
        <v>172859820</v>
      </c>
      <c r="T104" s="29">
        <f t="shared" si="4"/>
        <v>190120000</v>
      </c>
      <c r="U104" s="30">
        <v>0.36</v>
      </c>
      <c r="V104" s="26" t="s">
        <v>353</v>
      </c>
      <c r="W104" s="31">
        <v>9</v>
      </c>
      <c r="X104" s="28">
        <f t="shared" si="5"/>
        <v>142590000</v>
      </c>
      <c r="Y104" s="32">
        <f>VLOOKUP(Q104,'[3]DATA VALID'!M:O,3,FALSE)</f>
        <v>0.1</v>
      </c>
      <c r="Z104" s="33">
        <f>(R104-VLOOKUP(J104,'[3]DATA VALID'!G:K,5,FALSE))/R104-Y104*1.24</f>
        <v>0.37779489795918364</v>
      </c>
      <c r="AA104" s="33"/>
      <c r="AB104" s="33"/>
      <c r="AC104" s="33"/>
      <c r="AD104" s="33"/>
      <c r="AE104" s="34">
        <f>ROUNDUP(Table2[[#This Row],[ Số lượng trúng thầu ]]*Table2[[#This Row],[Số tháng phát sinh]]/12/9,0)</f>
        <v>17</v>
      </c>
      <c r="AF104" s="34">
        <f>ROUNDUP(Table2[[#This Row],[ Số lượng trúng thầu ]]*Table2[[#This Row],[Số tháng phát sinh]]/12/9,0)</f>
        <v>17</v>
      </c>
      <c r="AG104" s="34">
        <f>ROUNDUP(Table2[[#This Row],[ Số lượng trúng thầu ]]*Table2[[#This Row],[Số tháng phát sinh]]/12/9,0)</f>
        <v>17</v>
      </c>
      <c r="AH104" s="34">
        <f>ROUNDUP(Table2[[#This Row],[ Số lượng trúng thầu ]]*Table2[[#This Row],[Số tháng phát sinh]]/12/9,0)</f>
        <v>17</v>
      </c>
      <c r="AI104" s="34">
        <f>ROUNDUP(Table2[[#This Row],[ Số lượng trúng thầu ]]*Table2[[#This Row],[Số tháng phát sinh]]/12/9,0)</f>
        <v>17</v>
      </c>
      <c r="AJ104" s="34">
        <f>ROUNDUP(Table2[[#This Row],[ Số lượng trúng thầu ]]*Table2[[#This Row],[Số tháng phát sinh]]/12/9,0)</f>
        <v>17</v>
      </c>
      <c r="AK104" s="34">
        <f>ROUNDUP(Table2[[#This Row],[ Số lượng trúng thầu ]]*Table2[[#This Row],[Số tháng phát sinh]]/12/9,0)</f>
        <v>17</v>
      </c>
      <c r="AL104" s="34">
        <f>ROUNDUP(Table2[[#This Row],[ Số lượng trúng thầu ]]*Table2[[#This Row],[Số tháng phát sinh]]/12/9,0)</f>
        <v>17</v>
      </c>
      <c r="AM104" s="34">
        <f>ROUNDUP(Table2[[#This Row],[ Số lượng trúng thầu ]]*Table2[[#This Row],[Số tháng phát sinh]]/12/9,0)</f>
        <v>17</v>
      </c>
      <c r="AN104" s="34">
        <f>ROUNDUP(Table2[[#This Row],[ Số lượng trúng thầu ]]*Table2[[#This Row],[Số tháng phát sinh]]/12/9,0)</f>
        <v>17</v>
      </c>
    </row>
    <row r="105" spans="1:40" x14ac:dyDescent="0.35">
      <c r="A105" s="26">
        <v>6</v>
      </c>
      <c r="B105" s="26">
        <v>2025</v>
      </c>
      <c r="C105" s="26" t="s">
        <v>165</v>
      </c>
      <c r="D105" s="26" t="s">
        <v>166</v>
      </c>
      <c r="E105" s="26" t="s">
        <v>311</v>
      </c>
      <c r="F105" s="26" t="s">
        <v>350</v>
      </c>
      <c r="G105" s="26" t="s">
        <v>30</v>
      </c>
      <c r="H105" s="26" t="s">
        <v>192</v>
      </c>
      <c r="I105" s="26" t="s">
        <v>217</v>
      </c>
      <c r="J105" s="26" t="s">
        <v>7</v>
      </c>
      <c r="K105" s="26" t="s">
        <v>171</v>
      </c>
      <c r="L105" s="26" t="s">
        <v>178</v>
      </c>
      <c r="M105" s="26" t="s">
        <v>173</v>
      </c>
      <c r="N105" s="26">
        <v>5000</v>
      </c>
      <c r="O105" s="26">
        <v>40</v>
      </c>
      <c r="P105" s="27">
        <v>2219532</v>
      </c>
      <c r="Q105" s="27" t="s">
        <v>183</v>
      </c>
      <c r="R105" s="28">
        <v>2000000</v>
      </c>
      <c r="S105" s="29">
        <v>88781280</v>
      </c>
      <c r="T105" s="29">
        <f t="shared" si="4"/>
        <v>80000000</v>
      </c>
      <c r="U105" s="30">
        <v>0.19</v>
      </c>
      <c r="V105" s="26" t="s">
        <v>354</v>
      </c>
      <c r="W105" s="31">
        <v>9</v>
      </c>
      <c r="X105" s="28">
        <f t="shared" si="5"/>
        <v>60000000</v>
      </c>
      <c r="Y105" s="32">
        <f>VLOOKUP(Q105,'[3]DATA VALID'!M:O,3,FALSE)</f>
        <v>0.1</v>
      </c>
      <c r="Z105" s="33">
        <f>(R105-VLOOKUP(J105,'[3]DATA VALID'!G:K,5,FALSE))/R105-Y105*1.24</f>
        <v>0.41820584999999988</v>
      </c>
      <c r="AA105" s="33"/>
      <c r="AB105" s="33"/>
      <c r="AC105" s="33"/>
      <c r="AD105" s="33"/>
      <c r="AE105" s="34">
        <f>ROUNDUP(Table2[[#This Row],[ Số lượng trúng thầu ]]*Table2[[#This Row],[Số tháng phát sinh]]/12/9,0)</f>
        <v>4</v>
      </c>
      <c r="AF105" s="34">
        <f>ROUNDUP(Table2[[#This Row],[ Số lượng trúng thầu ]]*Table2[[#This Row],[Số tháng phát sinh]]/12/9,0)</f>
        <v>4</v>
      </c>
      <c r="AG105" s="34">
        <f>ROUNDUP(Table2[[#This Row],[ Số lượng trúng thầu ]]*Table2[[#This Row],[Số tháng phát sinh]]/12/9,0)</f>
        <v>4</v>
      </c>
      <c r="AH105" s="34">
        <f>ROUNDUP(Table2[[#This Row],[ Số lượng trúng thầu ]]*Table2[[#This Row],[Số tháng phát sinh]]/12/9,0)</f>
        <v>4</v>
      </c>
      <c r="AI105" s="34">
        <f>ROUNDUP(Table2[[#This Row],[ Số lượng trúng thầu ]]*Table2[[#This Row],[Số tháng phát sinh]]/12/9,0)</f>
        <v>4</v>
      </c>
      <c r="AJ105" s="34">
        <f>ROUNDUP(Table2[[#This Row],[ Số lượng trúng thầu ]]*Table2[[#This Row],[Số tháng phát sinh]]/12/9,0)</f>
        <v>4</v>
      </c>
      <c r="AK105" s="34">
        <f>ROUNDUP(Table2[[#This Row],[ Số lượng trúng thầu ]]*Table2[[#This Row],[Số tháng phát sinh]]/12/9,0)</f>
        <v>4</v>
      </c>
      <c r="AL105" s="34">
        <f>ROUNDUP(Table2[[#This Row],[ Số lượng trúng thầu ]]*Table2[[#This Row],[Số tháng phát sinh]]/12/9,0)</f>
        <v>4</v>
      </c>
      <c r="AM105" s="34">
        <f>ROUNDUP(Table2[[#This Row],[ Số lượng trúng thầu ]]*Table2[[#This Row],[Số tháng phát sinh]]/12/9,0)</f>
        <v>4</v>
      </c>
      <c r="AN105" s="34">
        <f>ROUNDUP(Table2[[#This Row],[ Số lượng trúng thầu ]]*Table2[[#This Row],[Số tháng phát sinh]]/12/9,0)</f>
        <v>4</v>
      </c>
    </row>
    <row r="106" spans="1:40" x14ac:dyDescent="0.35">
      <c r="A106" s="26">
        <v>5</v>
      </c>
      <c r="B106" s="26">
        <v>2025</v>
      </c>
      <c r="C106" s="26" t="s">
        <v>165</v>
      </c>
      <c r="D106" s="26" t="s">
        <v>166</v>
      </c>
      <c r="E106" s="26" t="s">
        <v>211</v>
      </c>
      <c r="F106" s="26" t="s">
        <v>355</v>
      </c>
      <c r="G106" s="26" t="s">
        <v>55</v>
      </c>
      <c r="H106" s="26" t="s">
        <v>176</v>
      </c>
      <c r="I106" s="26" t="s">
        <v>177</v>
      </c>
      <c r="J106" s="31" t="s">
        <v>12</v>
      </c>
      <c r="K106" s="26" t="s">
        <v>171</v>
      </c>
      <c r="L106" s="26" t="s">
        <v>178</v>
      </c>
      <c r="M106" s="26" t="s">
        <v>173</v>
      </c>
      <c r="N106" s="26">
        <v>1000</v>
      </c>
      <c r="O106" s="26">
        <v>40</v>
      </c>
      <c r="P106" s="27">
        <v>355000</v>
      </c>
      <c r="Q106" s="27" t="s">
        <v>183</v>
      </c>
      <c r="R106" s="28">
        <f>1450000/5</f>
        <v>290000</v>
      </c>
      <c r="S106" s="29">
        <v>14200000</v>
      </c>
      <c r="T106" s="29">
        <f t="shared" si="4"/>
        <v>11600000</v>
      </c>
      <c r="U106" s="30">
        <v>0.14000000000000001</v>
      </c>
      <c r="V106" s="26" t="s">
        <v>356</v>
      </c>
      <c r="W106" s="31">
        <v>10</v>
      </c>
      <c r="X106" s="28">
        <f t="shared" si="5"/>
        <v>9666666.666666666</v>
      </c>
      <c r="Y106" s="32">
        <f>VLOOKUP(Q106,'[3]DATA VALID'!M:O,3,FALSE)</f>
        <v>0.1</v>
      </c>
      <c r="Z106" s="33">
        <f>(R106-VLOOKUP(J106,'[3]DATA VALID'!G:K,5,FALSE))/R106-Y106*1.24</f>
        <v>0.40335517241379315</v>
      </c>
      <c r="AA106" s="61"/>
      <c r="AB106" s="61"/>
      <c r="AC106" s="61">
        <f>ROUNDUP(Table2[[#This Row],[ Số lượng trúng thầu ]]*Table2[[#This Row],[Số tháng phát sinh]]/12/Table2[[#This Row],[Số tháng phát sinh]],0)</f>
        <v>4</v>
      </c>
      <c r="AD106" s="61">
        <f>ROUNDUP(Table2[[#This Row],[ Số lượng trúng thầu ]]*Table2[[#This Row],[Số tháng phát sinh]]/12/Table2[[#This Row],[Số tháng phát sinh]],0)</f>
        <v>4</v>
      </c>
      <c r="AE106" s="34">
        <f>ROUNDUP(Table2[[#This Row],[ Số lượng trúng thầu ]]*Table2[[#This Row],[Số tháng phát sinh]]/12/Table2[[#This Row],[Số tháng phát sinh]],0)</f>
        <v>4</v>
      </c>
      <c r="AF106" s="34">
        <f>ROUNDUP(Table2[[#This Row],[ Số lượng trúng thầu ]]*Table2[[#This Row],[Số tháng phát sinh]]/12/Table2[[#This Row],[Số tháng phát sinh]],0)</f>
        <v>4</v>
      </c>
      <c r="AG106" s="34">
        <f>ROUNDUP(Table2[[#This Row],[ Số lượng trúng thầu ]]*Table2[[#This Row],[Số tháng phát sinh]]/12/Table2[[#This Row],[Số tháng phát sinh]],0)</f>
        <v>4</v>
      </c>
      <c r="AH106" s="34">
        <f>ROUNDUP(Table2[[#This Row],[ Số lượng trúng thầu ]]*Table2[[#This Row],[Số tháng phát sinh]]/12/Table2[[#This Row],[Số tháng phát sinh]],0)</f>
        <v>4</v>
      </c>
      <c r="AI106" s="34">
        <f>ROUNDUP(Table2[[#This Row],[ Số lượng trúng thầu ]]*Table2[[#This Row],[Số tháng phát sinh]]/12/Table2[[#This Row],[Số tháng phát sinh]],0)</f>
        <v>4</v>
      </c>
      <c r="AJ106" s="34">
        <f>ROUNDUP(Table2[[#This Row],[ Số lượng trúng thầu ]]*Table2[[#This Row],[Số tháng phát sinh]]/12/Table2[[#This Row],[Số tháng phát sinh]],0)</f>
        <v>4</v>
      </c>
      <c r="AK106" s="34">
        <f>ROUNDUP(Table2[[#This Row],[ Số lượng trúng thầu ]]*Table2[[#This Row],[Số tháng phát sinh]]/12/Table2[[#This Row],[Số tháng phát sinh]],0)</f>
        <v>4</v>
      </c>
      <c r="AL106" s="34">
        <f>ROUNDUP(Table2[[#This Row],[ Số lượng trúng thầu ]]*Table2[[#This Row],[Số tháng phát sinh]]/12/Table2[[#This Row],[Số tháng phát sinh]],0)</f>
        <v>4</v>
      </c>
      <c r="AM106" s="34">
        <f>ROUNDUP(Table2[[#This Row],[ Số lượng trúng thầu ]]*Table2[[#This Row],[Số tháng phát sinh]]/12/Table2[[#This Row],[Số tháng phát sinh]],0)</f>
        <v>4</v>
      </c>
      <c r="AN106" s="34">
        <f>ROUNDUP(Table2[[#This Row],[ Số lượng trúng thầu ]]*Table2[[#This Row],[Số tháng phát sinh]]/12/Table2[[#This Row],[Số tháng phát sinh]],0)</f>
        <v>4</v>
      </c>
    </row>
    <row r="107" spans="1:40" x14ac:dyDescent="0.35">
      <c r="A107" s="26">
        <v>5</v>
      </c>
      <c r="B107" s="26">
        <v>2025</v>
      </c>
      <c r="C107" s="26" t="s">
        <v>165</v>
      </c>
      <c r="D107" s="26" t="s">
        <v>166</v>
      </c>
      <c r="E107" s="26" t="s">
        <v>211</v>
      </c>
      <c r="F107" s="26" t="s">
        <v>355</v>
      </c>
      <c r="G107" s="26" t="s">
        <v>55</v>
      </c>
      <c r="H107" s="26" t="s">
        <v>176</v>
      </c>
      <c r="I107" s="26" t="s">
        <v>191</v>
      </c>
      <c r="J107" s="26" t="s">
        <v>11</v>
      </c>
      <c r="K107" s="26" t="s">
        <v>171</v>
      </c>
      <c r="L107" s="26" t="s">
        <v>172</v>
      </c>
      <c r="M107" s="26" t="s">
        <v>173</v>
      </c>
      <c r="N107" s="26">
        <v>5000</v>
      </c>
      <c r="O107" s="26">
        <v>20</v>
      </c>
      <c r="P107" s="27">
        <v>430000</v>
      </c>
      <c r="Q107" s="27" t="s">
        <v>183</v>
      </c>
      <c r="R107" s="28">
        <v>428925</v>
      </c>
      <c r="S107" s="29">
        <v>8600000</v>
      </c>
      <c r="T107" s="29">
        <f t="shared" si="4"/>
        <v>8578500</v>
      </c>
      <c r="U107" s="30">
        <v>0.08</v>
      </c>
      <c r="V107" s="26" t="s">
        <v>357</v>
      </c>
      <c r="W107" s="31">
        <v>10</v>
      </c>
      <c r="X107" s="28">
        <f t="shared" si="5"/>
        <v>7148750</v>
      </c>
      <c r="Y107" s="32">
        <f>VLOOKUP(Q107,'[3]DATA VALID'!M:O,3,FALSE)</f>
        <v>0.1</v>
      </c>
      <c r="Z107" s="33">
        <f>(R107-VLOOKUP(J107,'[3]DATA VALID'!G:K,5,FALSE))/R107-Y107*1.24</f>
        <v>0.42921559713236579</v>
      </c>
      <c r="AA107" s="61"/>
      <c r="AB107" s="61"/>
      <c r="AC107" s="61">
        <f>ROUNDUP(Table2[[#This Row],[ Số lượng trúng thầu ]]*Table2[[#This Row],[Số tháng phát sinh]]/12/Table2[[#This Row],[Số tháng phát sinh]],0)</f>
        <v>2</v>
      </c>
      <c r="AD107" s="61">
        <f>ROUNDUP(Table2[[#This Row],[ Số lượng trúng thầu ]]*Table2[[#This Row],[Số tháng phát sinh]]/12/Table2[[#This Row],[Số tháng phát sinh]],0)</f>
        <v>2</v>
      </c>
      <c r="AE107" s="34">
        <f>ROUNDUP(Table2[[#This Row],[ Số lượng trúng thầu ]]*Table2[[#This Row],[Số tháng phát sinh]]/12/Table2[[#This Row],[Số tháng phát sinh]],0)</f>
        <v>2</v>
      </c>
      <c r="AF107" s="34">
        <f>ROUNDUP(Table2[[#This Row],[ Số lượng trúng thầu ]]*Table2[[#This Row],[Số tháng phát sinh]]/12/Table2[[#This Row],[Số tháng phát sinh]],0)</f>
        <v>2</v>
      </c>
      <c r="AG107" s="34">
        <f>ROUNDUP(Table2[[#This Row],[ Số lượng trúng thầu ]]*Table2[[#This Row],[Số tháng phát sinh]]/12/Table2[[#This Row],[Số tháng phát sinh]],0)</f>
        <v>2</v>
      </c>
      <c r="AH107" s="34">
        <f>ROUNDUP(Table2[[#This Row],[ Số lượng trúng thầu ]]*Table2[[#This Row],[Số tháng phát sinh]]/12/Table2[[#This Row],[Số tháng phát sinh]],0)</f>
        <v>2</v>
      </c>
      <c r="AI107" s="34">
        <f>ROUNDUP(Table2[[#This Row],[ Số lượng trúng thầu ]]*Table2[[#This Row],[Số tháng phát sinh]]/12/Table2[[#This Row],[Số tháng phát sinh]],0)</f>
        <v>2</v>
      </c>
      <c r="AJ107" s="34">
        <f>ROUNDUP(Table2[[#This Row],[ Số lượng trúng thầu ]]*Table2[[#This Row],[Số tháng phát sinh]]/12/Table2[[#This Row],[Số tháng phát sinh]],0)</f>
        <v>2</v>
      </c>
      <c r="AK107" s="34">
        <f>ROUNDUP(Table2[[#This Row],[ Số lượng trúng thầu ]]*Table2[[#This Row],[Số tháng phát sinh]]/12/Table2[[#This Row],[Số tháng phát sinh]],0)</f>
        <v>2</v>
      </c>
      <c r="AL107" s="34">
        <f>ROUNDUP(Table2[[#This Row],[ Số lượng trúng thầu ]]*Table2[[#This Row],[Số tháng phát sinh]]/12/Table2[[#This Row],[Số tháng phát sinh]],0)</f>
        <v>2</v>
      </c>
      <c r="AM107" s="34">
        <f>ROUNDUP(Table2[[#This Row],[ Số lượng trúng thầu ]]*Table2[[#This Row],[Số tháng phát sinh]]/12/Table2[[#This Row],[Số tháng phát sinh]],0)</f>
        <v>2</v>
      </c>
      <c r="AN107" s="34">
        <f>ROUNDUP(Table2[[#This Row],[ Số lượng trúng thầu ]]*Table2[[#This Row],[Số tháng phát sinh]]/12/Table2[[#This Row],[Số tháng phát sinh]],0)</f>
        <v>2</v>
      </c>
    </row>
    <row r="108" spans="1:40" x14ac:dyDescent="0.35">
      <c r="A108" s="26">
        <v>5</v>
      </c>
      <c r="B108" s="26">
        <v>2025</v>
      </c>
      <c r="C108" s="26" t="s">
        <v>165</v>
      </c>
      <c r="D108" s="26" t="s">
        <v>166</v>
      </c>
      <c r="E108" s="26" t="s">
        <v>211</v>
      </c>
      <c r="F108" s="26" t="s">
        <v>355</v>
      </c>
      <c r="G108" s="26" t="s">
        <v>55</v>
      </c>
      <c r="H108" s="26" t="s">
        <v>176</v>
      </c>
      <c r="I108" s="26" t="s">
        <v>358</v>
      </c>
      <c r="J108" s="31" t="s">
        <v>8</v>
      </c>
      <c r="K108" s="26" t="s">
        <v>186</v>
      </c>
      <c r="L108" s="26" t="s">
        <v>200</v>
      </c>
      <c r="M108" s="26" t="s">
        <v>173</v>
      </c>
      <c r="N108" s="26">
        <v>1000</v>
      </c>
      <c r="O108" s="26">
        <v>30</v>
      </c>
      <c r="P108" s="27">
        <v>290000</v>
      </c>
      <c r="Q108" s="27" t="s">
        <v>183</v>
      </c>
      <c r="R108" s="28">
        <v>260000</v>
      </c>
      <c r="S108" s="29">
        <v>8700000</v>
      </c>
      <c r="T108" s="29">
        <f t="shared" si="4"/>
        <v>7800000</v>
      </c>
      <c r="U108" s="30">
        <v>0.08</v>
      </c>
      <c r="V108" s="26" t="s">
        <v>359</v>
      </c>
      <c r="W108" s="31">
        <v>10</v>
      </c>
      <c r="X108" s="28">
        <f t="shared" si="5"/>
        <v>6500000</v>
      </c>
      <c r="Y108" s="32">
        <f>VLOOKUP(Q108,'[3]DATA VALID'!M:O,3,FALSE)</f>
        <v>0.1</v>
      </c>
      <c r="Z108" s="33">
        <f>(R108-VLOOKUP(J108,'[3]DATA VALID'!G:K,5,FALSE))/R108-Y108*1.24</f>
        <v>0.39375923076923069</v>
      </c>
      <c r="AA108" s="61"/>
      <c r="AB108" s="61"/>
      <c r="AC108" s="61">
        <f>ROUNDUP(Table2[[#This Row],[ Số lượng trúng thầu ]]*Table2[[#This Row],[Số tháng phát sinh]]/12/Table2[[#This Row],[Số tháng phát sinh]],0)</f>
        <v>3</v>
      </c>
      <c r="AD108" s="61">
        <f>ROUNDUP(Table2[[#This Row],[ Số lượng trúng thầu ]]*Table2[[#This Row],[Số tháng phát sinh]]/12/Table2[[#This Row],[Số tháng phát sinh]],0)</f>
        <v>3</v>
      </c>
      <c r="AE108" s="34">
        <f>ROUNDUP(Table2[[#This Row],[ Số lượng trúng thầu ]]*Table2[[#This Row],[Số tháng phát sinh]]/12/Table2[[#This Row],[Số tháng phát sinh]],0)</f>
        <v>3</v>
      </c>
      <c r="AF108" s="34">
        <f>ROUNDUP(Table2[[#This Row],[ Số lượng trúng thầu ]]*Table2[[#This Row],[Số tháng phát sinh]]/12/Table2[[#This Row],[Số tháng phát sinh]],0)</f>
        <v>3</v>
      </c>
      <c r="AG108" s="34">
        <f>ROUNDUP(Table2[[#This Row],[ Số lượng trúng thầu ]]*Table2[[#This Row],[Số tháng phát sinh]]/12/Table2[[#This Row],[Số tháng phát sinh]],0)</f>
        <v>3</v>
      </c>
      <c r="AH108" s="34">
        <f>ROUNDUP(Table2[[#This Row],[ Số lượng trúng thầu ]]*Table2[[#This Row],[Số tháng phát sinh]]/12/Table2[[#This Row],[Số tháng phát sinh]],0)</f>
        <v>3</v>
      </c>
      <c r="AI108" s="34">
        <f>ROUNDUP(Table2[[#This Row],[ Số lượng trúng thầu ]]*Table2[[#This Row],[Số tháng phát sinh]]/12/Table2[[#This Row],[Số tháng phát sinh]],0)</f>
        <v>3</v>
      </c>
      <c r="AJ108" s="34">
        <f>ROUNDUP(Table2[[#This Row],[ Số lượng trúng thầu ]]*Table2[[#This Row],[Số tháng phát sinh]]/12/Table2[[#This Row],[Số tháng phát sinh]],0)</f>
        <v>3</v>
      </c>
      <c r="AK108" s="34">
        <f>ROUNDUP(Table2[[#This Row],[ Số lượng trúng thầu ]]*Table2[[#This Row],[Số tháng phát sinh]]/12/Table2[[#This Row],[Số tháng phát sinh]],0)</f>
        <v>3</v>
      </c>
      <c r="AL108" s="34">
        <f>ROUNDUP(Table2[[#This Row],[ Số lượng trúng thầu ]]*Table2[[#This Row],[Số tháng phát sinh]]/12/Table2[[#This Row],[Số tháng phát sinh]],0)</f>
        <v>3</v>
      </c>
      <c r="AM108" s="34">
        <f>ROUNDUP(Table2[[#This Row],[ Số lượng trúng thầu ]]*Table2[[#This Row],[Số tháng phát sinh]]/12/Table2[[#This Row],[Số tháng phát sinh]],0)</f>
        <v>3</v>
      </c>
      <c r="AN108" s="34">
        <f>ROUNDUP(Table2[[#This Row],[ Số lượng trúng thầu ]]*Table2[[#This Row],[Số tháng phát sinh]]/12/Table2[[#This Row],[Số tháng phát sinh]],0)</f>
        <v>3</v>
      </c>
    </row>
    <row r="109" spans="1:40" x14ac:dyDescent="0.35">
      <c r="A109" s="26">
        <v>12</v>
      </c>
      <c r="B109" s="26">
        <v>2025</v>
      </c>
      <c r="C109" s="26" t="s">
        <v>165</v>
      </c>
      <c r="D109" s="26" t="s">
        <v>166</v>
      </c>
      <c r="E109" s="26" t="s">
        <v>211</v>
      </c>
      <c r="F109" s="26" t="s">
        <v>360</v>
      </c>
      <c r="G109" s="26" t="s">
        <v>39</v>
      </c>
      <c r="H109" s="26" t="s">
        <v>176</v>
      </c>
      <c r="I109" s="26" t="s">
        <v>315</v>
      </c>
      <c r="J109" s="31" t="s">
        <v>8</v>
      </c>
      <c r="K109" s="26" t="s">
        <v>186</v>
      </c>
      <c r="L109" s="26" t="s">
        <v>200</v>
      </c>
      <c r="M109" s="26" t="s">
        <v>173</v>
      </c>
      <c r="N109" s="26">
        <v>1000</v>
      </c>
      <c r="O109" s="27">
        <v>2135</v>
      </c>
      <c r="P109" s="27">
        <v>295000</v>
      </c>
      <c r="Q109" s="27" t="s">
        <v>183</v>
      </c>
      <c r="R109" s="28">
        <v>260000</v>
      </c>
      <c r="S109" s="29">
        <v>629825000</v>
      </c>
      <c r="T109" s="29">
        <f t="shared" si="4"/>
        <v>555100000</v>
      </c>
      <c r="U109" s="30">
        <v>0.21</v>
      </c>
      <c r="V109" s="26" t="s">
        <v>361</v>
      </c>
      <c r="W109" s="31">
        <v>3</v>
      </c>
      <c r="X109" s="28">
        <f t="shared" si="5"/>
        <v>138775000</v>
      </c>
      <c r="Y109" s="32">
        <f>VLOOKUP(Q109,'[3]DATA VALID'!M:O,3,FALSE)</f>
        <v>0.1</v>
      </c>
      <c r="Z109" s="33">
        <f>(R109-VLOOKUP(J109,'[3]DATA VALID'!G:K,5,FALSE))/R109-Y109*1.24</f>
        <v>0.39375923076923069</v>
      </c>
      <c r="AA109" s="33"/>
      <c r="AB109" s="33"/>
      <c r="AC109" s="33"/>
      <c r="AD109" s="33"/>
      <c r="AE109" s="34"/>
      <c r="AF109" s="34"/>
      <c r="AG109" s="34"/>
      <c r="AH109" s="34"/>
      <c r="AI109" s="34"/>
      <c r="AJ109" s="34">
        <f>ROUNDUP(Table2[[#This Row],[ Số lượng trúng thầu ]]*Table2[[#This Row],[Số tháng phát sinh]]/12/Table2[[#This Row],[Số tháng phát sinh]],0)</f>
        <v>178</v>
      </c>
      <c r="AK109" s="34">
        <f>ROUNDUP(Table2[[#This Row],[ Số lượng trúng thầu ]]*Table2[[#This Row],[Số tháng phát sinh]]/12/Table2[[#This Row],[Số tháng phát sinh]],0)</f>
        <v>178</v>
      </c>
      <c r="AL109" s="34">
        <f>ROUNDUP(Table2[[#This Row],[ Số lượng trúng thầu ]]*Table2[[#This Row],[Số tháng phát sinh]]/12/Table2[[#This Row],[Số tháng phát sinh]],0)</f>
        <v>178</v>
      </c>
      <c r="AM109" s="34">
        <f>ROUNDUP(Table2[[#This Row],[ Số lượng trúng thầu ]]*Table2[[#This Row],[Số tháng phát sinh]]/12/Table2[[#This Row],[Số tháng phát sinh]],0)</f>
        <v>178</v>
      </c>
      <c r="AN109" s="34">
        <f>ROUNDUP(Table2[[#This Row],[ Số lượng trúng thầu ]]*Table2[[#This Row],[Số tháng phát sinh]]/12/Table2[[#This Row],[Số tháng phát sinh]],0)</f>
        <v>178</v>
      </c>
    </row>
    <row r="110" spans="1:40" x14ac:dyDescent="0.35">
      <c r="A110" s="26">
        <v>12</v>
      </c>
      <c r="B110" s="26">
        <v>2025</v>
      </c>
      <c r="C110" s="26" t="s">
        <v>165</v>
      </c>
      <c r="D110" s="26" t="s">
        <v>166</v>
      </c>
      <c r="E110" s="26" t="s">
        <v>211</v>
      </c>
      <c r="F110" s="26" t="s">
        <v>360</v>
      </c>
      <c r="G110" s="26" t="s">
        <v>39</v>
      </c>
      <c r="H110" s="26" t="s">
        <v>176</v>
      </c>
      <c r="I110" s="26" t="s">
        <v>300</v>
      </c>
      <c r="J110" s="31" t="s">
        <v>5</v>
      </c>
      <c r="K110" s="26" t="s">
        <v>171</v>
      </c>
      <c r="L110" s="26" t="s">
        <v>178</v>
      </c>
      <c r="M110" s="26" t="s">
        <v>173</v>
      </c>
      <c r="N110" s="26">
        <v>1000</v>
      </c>
      <c r="O110" s="26">
        <v>696</v>
      </c>
      <c r="P110" s="27">
        <v>590000</v>
      </c>
      <c r="Q110" s="27" t="s">
        <v>183</v>
      </c>
      <c r="R110" s="27">
        <v>530000</v>
      </c>
      <c r="S110" s="29">
        <v>410640000</v>
      </c>
      <c r="T110" s="29">
        <f t="shared" si="4"/>
        <v>368880000</v>
      </c>
      <c r="U110" s="30">
        <v>0.14000000000000001</v>
      </c>
      <c r="V110" s="26" t="s">
        <v>362</v>
      </c>
      <c r="W110" s="31">
        <v>3</v>
      </c>
      <c r="X110" s="28">
        <f t="shared" si="5"/>
        <v>92220000</v>
      </c>
      <c r="Y110" s="32">
        <f>VLOOKUP(Q110,'[3]DATA VALID'!M:O,3,FALSE)</f>
        <v>0.1</v>
      </c>
      <c r="Z110" s="33">
        <f>(R110-VLOOKUP(J110,'[3]DATA VALID'!G:K,5,FALSE))/R110-Y110*1.24</f>
        <v>0.41266981132075475</v>
      </c>
      <c r="AA110" s="33"/>
      <c r="AB110" s="33"/>
      <c r="AC110" s="33"/>
      <c r="AD110" s="33"/>
      <c r="AE110" s="34"/>
      <c r="AF110" s="34"/>
      <c r="AG110" s="34"/>
      <c r="AH110" s="34"/>
      <c r="AI110" s="34"/>
      <c r="AJ110" s="34">
        <f>ROUNDUP(Table2[[#This Row],[ Số lượng trúng thầu ]]*Table2[[#This Row],[Số tháng phát sinh]]/12/Table2[[#This Row],[Số tháng phát sinh]],0)</f>
        <v>58</v>
      </c>
      <c r="AK110" s="34">
        <f>ROUNDUP(Table2[[#This Row],[ Số lượng trúng thầu ]]*Table2[[#This Row],[Số tháng phát sinh]]/12/Table2[[#This Row],[Số tháng phát sinh]],0)</f>
        <v>58</v>
      </c>
      <c r="AL110" s="34">
        <f>ROUNDUP(Table2[[#This Row],[ Số lượng trúng thầu ]]*Table2[[#This Row],[Số tháng phát sinh]]/12/Table2[[#This Row],[Số tháng phát sinh]],0)</f>
        <v>58</v>
      </c>
      <c r="AM110" s="34">
        <f>ROUNDUP(Table2[[#This Row],[ Số lượng trúng thầu ]]*Table2[[#This Row],[Số tháng phát sinh]]/12/Table2[[#This Row],[Số tháng phát sinh]],0)</f>
        <v>58</v>
      </c>
      <c r="AN110" s="34">
        <f>ROUNDUP(Table2[[#This Row],[ Số lượng trúng thầu ]]*Table2[[#This Row],[Số tháng phát sinh]]/12/Table2[[#This Row],[Số tháng phát sinh]],0)</f>
        <v>58</v>
      </c>
    </row>
    <row r="111" spans="1:40" x14ac:dyDescent="0.35">
      <c r="A111" s="26">
        <v>8</v>
      </c>
      <c r="B111" s="26">
        <v>2025</v>
      </c>
      <c r="C111" s="26" t="s">
        <v>165</v>
      </c>
      <c r="D111" s="26" t="s">
        <v>166</v>
      </c>
      <c r="E111" s="26" t="s">
        <v>311</v>
      </c>
      <c r="F111" s="26" t="s">
        <v>363</v>
      </c>
      <c r="G111" s="26" t="s">
        <v>43</v>
      </c>
      <c r="H111" s="26" t="s">
        <v>176</v>
      </c>
      <c r="I111" s="26" t="s">
        <v>182</v>
      </c>
      <c r="J111" s="31" t="s">
        <v>5</v>
      </c>
      <c r="K111" s="26" t="s">
        <v>171</v>
      </c>
      <c r="L111" s="26" t="s">
        <v>178</v>
      </c>
      <c r="M111" s="26" t="s">
        <v>173</v>
      </c>
      <c r="N111" s="26">
        <v>1000</v>
      </c>
      <c r="O111" s="26">
        <v>200</v>
      </c>
      <c r="P111" s="27">
        <v>300000</v>
      </c>
      <c r="Q111" s="27" t="s">
        <v>174</v>
      </c>
      <c r="R111" s="27">
        <v>445200</v>
      </c>
      <c r="S111" s="29">
        <v>60000000</v>
      </c>
      <c r="T111" s="29">
        <f t="shared" si="4"/>
        <v>89040000</v>
      </c>
      <c r="U111" s="30">
        <v>0.02</v>
      </c>
      <c r="V111" s="26" t="s">
        <v>364</v>
      </c>
      <c r="W111" s="31">
        <v>7</v>
      </c>
      <c r="X111" s="28">
        <f t="shared" si="5"/>
        <v>51940000</v>
      </c>
      <c r="Y111" s="32">
        <f>VLOOKUP(Q111,'[3]DATA VALID'!M:O,3,FALSE)</f>
        <v>0</v>
      </c>
      <c r="Z111" s="33">
        <f>(R111-VLOOKUP(J111,'[3]DATA VALID'!G:K,5,FALSE))/R111-Y111*1.24</f>
        <v>0.44841644204851749</v>
      </c>
      <c r="AA111" s="33"/>
      <c r="AB111" s="33"/>
      <c r="AC111" s="33"/>
      <c r="AD111" s="33"/>
      <c r="AE111" s="34"/>
      <c r="AF111" s="34">
        <f>ROUNDUP(Table2[[#This Row],[ Số lượng trúng thầu ]]*Table2[[#This Row],[Số tháng phát sinh]]/12/Table2[[#This Row],[Số tháng phát sinh]],0)</f>
        <v>17</v>
      </c>
      <c r="AG111" s="34">
        <f>ROUNDUP(Table2[[#This Row],[ Số lượng trúng thầu ]]*Table2[[#This Row],[Số tháng phát sinh]]/12/Table2[[#This Row],[Số tháng phát sinh]],0)</f>
        <v>17</v>
      </c>
      <c r="AH111" s="34">
        <f>ROUNDUP(Table2[[#This Row],[ Số lượng trúng thầu ]]*Table2[[#This Row],[Số tháng phát sinh]]/12/Table2[[#This Row],[Số tháng phát sinh]],0)</f>
        <v>17</v>
      </c>
      <c r="AI111" s="34">
        <f>ROUNDUP(Table2[[#This Row],[ Số lượng trúng thầu ]]*Table2[[#This Row],[Số tháng phát sinh]]/12/Table2[[#This Row],[Số tháng phát sinh]],0)</f>
        <v>17</v>
      </c>
      <c r="AJ111" s="34">
        <f>ROUNDUP(Table2[[#This Row],[ Số lượng trúng thầu ]]*Table2[[#This Row],[Số tháng phát sinh]]/12/Table2[[#This Row],[Số tháng phát sinh]],0)</f>
        <v>17</v>
      </c>
      <c r="AK111" s="34">
        <f>ROUNDUP(Table2[[#This Row],[ Số lượng trúng thầu ]]*Table2[[#This Row],[Số tháng phát sinh]]/12/Table2[[#This Row],[Số tháng phát sinh]],0)</f>
        <v>17</v>
      </c>
      <c r="AL111" s="34">
        <f>ROUNDUP(Table2[[#This Row],[ Số lượng trúng thầu ]]*Table2[[#This Row],[Số tháng phát sinh]]/12/Table2[[#This Row],[Số tháng phát sinh]],0)</f>
        <v>17</v>
      </c>
      <c r="AM111" s="34">
        <f>ROUNDUP(Table2[[#This Row],[ Số lượng trúng thầu ]]*Table2[[#This Row],[Số tháng phát sinh]]/12/Table2[[#This Row],[Số tháng phát sinh]],0)</f>
        <v>17</v>
      </c>
      <c r="AN111" s="34">
        <f>ROUNDUP(Table2[[#This Row],[ Số lượng trúng thầu ]]*Table2[[#This Row],[Số tháng phát sinh]]/12/Table2[[#This Row],[Số tháng phát sinh]],0)</f>
        <v>17</v>
      </c>
    </row>
    <row r="112" spans="1:40" x14ac:dyDescent="0.35">
      <c r="A112" s="26">
        <v>12</v>
      </c>
      <c r="B112" s="26">
        <v>2025</v>
      </c>
      <c r="C112" s="26" t="s">
        <v>165</v>
      </c>
      <c r="D112" s="26" t="s">
        <v>166</v>
      </c>
      <c r="E112" s="26" t="s">
        <v>311</v>
      </c>
      <c r="F112" s="26" t="s">
        <v>365</v>
      </c>
      <c r="G112" s="26" t="s">
        <v>41</v>
      </c>
      <c r="H112" s="26" t="s">
        <v>176</v>
      </c>
      <c r="I112" s="26" t="s">
        <v>246</v>
      </c>
      <c r="J112" s="26" t="s">
        <v>11</v>
      </c>
      <c r="K112" s="26" t="s">
        <v>171</v>
      </c>
      <c r="L112" s="26" t="s">
        <v>172</v>
      </c>
      <c r="M112" s="26" t="s">
        <v>173</v>
      </c>
      <c r="N112" s="26">
        <v>1000</v>
      </c>
      <c r="O112" s="26">
        <v>600</v>
      </c>
      <c r="P112" s="27">
        <v>96000</v>
      </c>
      <c r="Q112" s="27" t="s">
        <v>227</v>
      </c>
      <c r="R112" s="27">
        <v>360297</v>
      </c>
      <c r="S112" s="29">
        <v>57600000</v>
      </c>
      <c r="T112" s="29">
        <f t="shared" si="4"/>
        <v>216178200</v>
      </c>
      <c r="U112" s="30">
        <v>0.33</v>
      </c>
      <c r="V112" s="26" t="s">
        <v>366</v>
      </c>
      <c r="W112" s="31">
        <v>3</v>
      </c>
      <c r="X112" s="28">
        <f t="shared" si="5"/>
        <v>54044550</v>
      </c>
      <c r="Y112" s="32">
        <f>VLOOKUP(Q112,'[3]DATA VALID'!M:O,3,FALSE)</f>
        <v>0</v>
      </c>
      <c r="Z112" s="33">
        <f>(R112-VLOOKUP(J112,'[3]DATA VALID'!G:K,5,FALSE))/R112-Y112*1.24</f>
        <v>0.46811380610995929</v>
      </c>
      <c r="AA112" s="33"/>
      <c r="AB112" s="33"/>
      <c r="AC112" s="33"/>
      <c r="AD112" s="33"/>
      <c r="AE112" s="34"/>
      <c r="AF112" s="34"/>
      <c r="AG112" s="34"/>
      <c r="AH112" s="34"/>
      <c r="AI112" s="34"/>
      <c r="AJ112" s="34">
        <f>ROUNDUP(Table2[[#This Row],[ Số lượng trúng thầu ]]*Table2[[#This Row],[Số tháng phát sinh]]/12/Table2[[#This Row],[Số tháng phát sinh]],0)</f>
        <v>50</v>
      </c>
      <c r="AK112" s="34">
        <f>ROUNDUP(Table2[[#This Row],[ Số lượng trúng thầu ]]*Table2[[#This Row],[Số tháng phát sinh]]/12/Table2[[#This Row],[Số tháng phát sinh]],0)</f>
        <v>50</v>
      </c>
      <c r="AL112" s="34">
        <f>ROUNDUP(Table2[[#This Row],[ Số lượng trúng thầu ]]*Table2[[#This Row],[Số tháng phát sinh]]/12/Table2[[#This Row],[Số tháng phát sinh]],0)</f>
        <v>50</v>
      </c>
      <c r="AM112" s="34">
        <f>ROUNDUP(Table2[[#This Row],[ Số lượng trúng thầu ]]*Table2[[#This Row],[Số tháng phát sinh]]/12/Table2[[#This Row],[Số tháng phát sinh]],0)</f>
        <v>50</v>
      </c>
      <c r="AN112" s="34">
        <f>ROUNDUP(Table2[[#This Row],[ Số lượng trúng thầu ]]*Table2[[#This Row],[Số tháng phát sinh]]/12/Table2[[#This Row],[Số tháng phát sinh]],0)</f>
        <v>50</v>
      </c>
    </row>
    <row r="113" spans="1:40" x14ac:dyDescent="0.35">
      <c r="A113" s="26">
        <v>12</v>
      </c>
      <c r="B113" s="26">
        <v>2025</v>
      </c>
      <c r="C113" s="26" t="s">
        <v>165</v>
      </c>
      <c r="D113" s="26" t="s">
        <v>166</v>
      </c>
      <c r="E113" s="26" t="s">
        <v>311</v>
      </c>
      <c r="F113" s="26" t="s">
        <v>365</v>
      </c>
      <c r="G113" s="26" t="s">
        <v>41</v>
      </c>
      <c r="H113" s="26" t="s">
        <v>176</v>
      </c>
      <c r="I113" s="26" t="s">
        <v>244</v>
      </c>
      <c r="J113" s="31" t="s">
        <v>5</v>
      </c>
      <c r="K113" s="26" t="s">
        <v>171</v>
      </c>
      <c r="L113" s="26" t="s">
        <v>178</v>
      </c>
      <c r="M113" s="26" t="s">
        <v>173</v>
      </c>
      <c r="N113" s="26">
        <v>1000</v>
      </c>
      <c r="O113" s="26">
        <v>120</v>
      </c>
      <c r="P113" s="27">
        <v>600000</v>
      </c>
      <c r="Q113" s="27" t="s">
        <v>227</v>
      </c>
      <c r="R113" s="27">
        <v>445200</v>
      </c>
      <c r="S113" s="29">
        <v>72000000</v>
      </c>
      <c r="T113" s="29">
        <f t="shared" si="4"/>
        <v>53424000</v>
      </c>
      <c r="U113" s="30">
        <v>0.41</v>
      </c>
      <c r="V113" s="26" t="s">
        <v>367</v>
      </c>
      <c r="W113" s="31">
        <v>3</v>
      </c>
      <c r="X113" s="28">
        <f t="shared" si="5"/>
        <v>13356000</v>
      </c>
      <c r="Y113" s="32">
        <f>VLOOKUP(Q113,'[3]DATA VALID'!M:O,3,FALSE)</f>
        <v>0</v>
      </c>
      <c r="Z113" s="33">
        <f>(R113-VLOOKUP(J113,'[3]DATA VALID'!G:K,5,FALSE))/R113-Y113*1.24</f>
        <v>0.44841644204851749</v>
      </c>
      <c r="AA113" s="33"/>
      <c r="AB113" s="33"/>
      <c r="AC113" s="33"/>
      <c r="AD113" s="33"/>
      <c r="AE113" s="34"/>
      <c r="AF113" s="34"/>
      <c r="AG113" s="34"/>
      <c r="AH113" s="34"/>
      <c r="AI113" s="34"/>
      <c r="AJ113" s="34">
        <f>ROUNDUP(Table2[[#This Row],[ Số lượng trúng thầu ]]*Table2[[#This Row],[Số tháng phát sinh]]/12/Table2[[#This Row],[Số tháng phát sinh]],0)</f>
        <v>10</v>
      </c>
      <c r="AK113" s="34">
        <f>ROUNDUP(Table2[[#This Row],[ Số lượng trúng thầu ]]*Table2[[#This Row],[Số tháng phát sinh]]/12/Table2[[#This Row],[Số tháng phát sinh]],0)</f>
        <v>10</v>
      </c>
      <c r="AL113" s="34">
        <f>ROUNDUP(Table2[[#This Row],[ Số lượng trúng thầu ]]*Table2[[#This Row],[Số tháng phát sinh]]/12/Table2[[#This Row],[Số tháng phát sinh]],0)</f>
        <v>10</v>
      </c>
      <c r="AM113" s="34">
        <f>ROUNDUP(Table2[[#This Row],[ Số lượng trúng thầu ]]*Table2[[#This Row],[Số tháng phát sinh]]/12/Table2[[#This Row],[Số tháng phát sinh]],0)</f>
        <v>10</v>
      </c>
      <c r="AN113" s="34">
        <f>ROUNDUP(Table2[[#This Row],[ Số lượng trúng thầu ]]*Table2[[#This Row],[Số tháng phát sinh]]/12/Table2[[#This Row],[Số tháng phát sinh]],0)</f>
        <v>10</v>
      </c>
    </row>
    <row r="114" spans="1:40" x14ac:dyDescent="0.35">
      <c r="A114" s="26">
        <v>8</v>
      </c>
      <c r="B114" s="26">
        <v>2025</v>
      </c>
      <c r="C114" s="26" t="s">
        <v>165</v>
      </c>
      <c r="D114" s="26" t="s">
        <v>166</v>
      </c>
      <c r="E114" s="26" t="s">
        <v>167</v>
      </c>
      <c r="F114" s="26" t="s">
        <v>368</v>
      </c>
      <c r="G114" s="26" t="s">
        <v>34</v>
      </c>
      <c r="H114" s="26" t="s">
        <v>176</v>
      </c>
      <c r="I114" s="26" t="s">
        <v>369</v>
      </c>
      <c r="J114" s="26" t="s">
        <v>4</v>
      </c>
      <c r="K114" s="26" t="s">
        <v>171</v>
      </c>
      <c r="L114" s="26" t="s">
        <v>172</v>
      </c>
      <c r="M114" s="26" t="s">
        <v>173</v>
      </c>
      <c r="N114" s="26">
        <v>5000</v>
      </c>
      <c r="O114" s="26">
        <v>80</v>
      </c>
      <c r="P114" s="27">
        <v>210000</v>
      </c>
      <c r="Q114" s="27" t="s">
        <v>183</v>
      </c>
      <c r="R114" s="28">
        <f>980000/5</f>
        <v>196000</v>
      </c>
      <c r="S114" s="29">
        <v>16800000</v>
      </c>
      <c r="T114" s="29">
        <f t="shared" si="4"/>
        <v>15680000</v>
      </c>
      <c r="U114" s="30">
        <v>0.01</v>
      </c>
      <c r="V114" s="26" t="s">
        <v>370</v>
      </c>
      <c r="W114" s="31">
        <v>7</v>
      </c>
      <c r="X114" s="28">
        <f t="shared" si="5"/>
        <v>9146666.666666666</v>
      </c>
      <c r="Y114" s="32">
        <f>VLOOKUP(Q114,'[3]DATA VALID'!M:O,3,FALSE)</f>
        <v>0.1</v>
      </c>
      <c r="Z114" s="33">
        <f>(R114*5-VLOOKUP(J114,'[3]DATA VALID'!G:K,5,FALSE))/(R114*5)-Y114*1.24</f>
        <v>0.37779489795918364</v>
      </c>
      <c r="AA114" s="33"/>
      <c r="AB114" s="33"/>
      <c r="AC114" s="33"/>
      <c r="AD114" s="33"/>
      <c r="AE114" s="34"/>
      <c r="AF114" s="34">
        <f>ROUNDUP(Table2[[#This Row],[ Số lượng trúng thầu ]]*Table2[[#This Row],[Số tháng phát sinh]]/12/Table2[[#This Row],[Số tháng phát sinh]],0)</f>
        <v>7</v>
      </c>
      <c r="AG114" s="34">
        <f>ROUNDUP(Table2[[#This Row],[ Số lượng trúng thầu ]]*Table2[[#This Row],[Số tháng phát sinh]]/12/Table2[[#This Row],[Số tháng phát sinh]],0)</f>
        <v>7</v>
      </c>
      <c r="AH114" s="34">
        <f>ROUNDUP(Table2[[#This Row],[ Số lượng trúng thầu ]]*Table2[[#This Row],[Số tháng phát sinh]]/12/Table2[[#This Row],[Số tháng phát sinh]],0)</f>
        <v>7</v>
      </c>
      <c r="AI114" s="34">
        <f>ROUNDUP(Table2[[#This Row],[ Số lượng trúng thầu ]]*Table2[[#This Row],[Số tháng phát sinh]]/12/Table2[[#This Row],[Số tháng phát sinh]],0)</f>
        <v>7</v>
      </c>
      <c r="AJ114" s="34">
        <f>ROUNDUP(Table2[[#This Row],[ Số lượng trúng thầu ]]*Table2[[#This Row],[Số tháng phát sinh]]/12/Table2[[#This Row],[Số tháng phát sinh]],0)</f>
        <v>7</v>
      </c>
      <c r="AK114" s="34">
        <f>ROUNDUP(Table2[[#This Row],[ Số lượng trúng thầu ]]*Table2[[#This Row],[Số tháng phát sinh]]/12/Table2[[#This Row],[Số tháng phát sinh]],0)</f>
        <v>7</v>
      </c>
      <c r="AL114" s="34">
        <f>ROUNDUP(Table2[[#This Row],[ Số lượng trúng thầu ]]*Table2[[#This Row],[Số tháng phát sinh]]/12/Table2[[#This Row],[Số tháng phát sinh]],0)</f>
        <v>7</v>
      </c>
      <c r="AM114" s="34">
        <f>ROUNDUP(Table2[[#This Row],[ Số lượng trúng thầu ]]*Table2[[#This Row],[Số tháng phát sinh]]/12/Table2[[#This Row],[Số tháng phát sinh]],0)</f>
        <v>7</v>
      </c>
      <c r="AN114" s="34">
        <f>ROUNDUP(Table2[[#This Row],[ Số lượng trúng thầu ]]*Table2[[#This Row],[Số tháng phát sinh]]/12/Table2[[#This Row],[Số tháng phát sinh]],0)</f>
        <v>7</v>
      </c>
    </row>
    <row r="115" spans="1:40" x14ac:dyDescent="0.35">
      <c r="A115" s="26">
        <v>8</v>
      </c>
      <c r="B115" s="26">
        <v>2025</v>
      </c>
      <c r="C115" s="26" t="s">
        <v>165</v>
      </c>
      <c r="D115" s="26" t="s">
        <v>166</v>
      </c>
      <c r="E115" s="26" t="s">
        <v>167</v>
      </c>
      <c r="F115" s="26" t="s">
        <v>368</v>
      </c>
      <c r="G115" s="26" t="s">
        <v>34</v>
      </c>
      <c r="H115" s="26" t="s">
        <v>176</v>
      </c>
      <c r="I115" s="26" t="s">
        <v>244</v>
      </c>
      <c r="J115" s="31" t="s">
        <v>5</v>
      </c>
      <c r="K115" s="26" t="s">
        <v>171</v>
      </c>
      <c r="L115" s="26" t="s">
        <v>178</v>
      </c>
      <c r="M115" s="26" t="s">
        <v>173</v>
      </c>
      <c r="N115" s="26">
        <v>1000</v>
      </c>
      <c r="O115" s="27">
        <v>1500</v>
      </c>
      <c r="P115" s="27">
        <v>577668</v>
      </c>
      <c r="Q115" s="27" t="s">
        <v>183</v>
      </c>
      <c r="R115" s="27">
        <v>530000</v>
      </c>
      <c r="S115" s="29">
        <v>866502000</v>
      </c>
      <c r="T115" s="29">
        <f t="shared" si="4"/>
        <v>795000000</v>
      </c>
      <c r="U115" s="30">
        <v>0.34</v>
      </c>
      <c r="V115" s="26" t="s">
        <v>371</v>
      </c>
      <c r="W115" s="31">
        <v>7</v>
      </c>
      <c r="X115" s="28">
        <f t="shared" si="5"/>
        <v>463750000</v>
      </c>
      <c r="Y115" s="32">
        <f>VLOOKUP(Q115,'[3]DATA VALID'!M:O,3,FALSE)</f>
        <v>0.1</v>
      </c>
      <c r="Z115" s="33">
        <f>(R115-VLOOKUP(J115,'[3]DATA VALID'!G:K,5,FALSE))/R115-Y115*1.24</f>
        <v>0.41266981132075475</v>
      </c>
      <c r="AA115" s="33"/>
      <c r="AB115" s="33"/>
      <c r="AC115" s="33"/>
      <c r="AD115" s="33"/>
      <c r="AE115" s="34"/>
      <c r="AF115" s="34">
        <f>ROUNDUP(Table2[[#This Row],[ Số lượng trúng thầu ]]*Table2[[#This Row],[Số tháng phát sinh]]/12/Table2[[#This Row],[Số tháng phát sinh]],0)</f>
        <v>125</v>
      </c>
      <c r="AG115" s="34">
        <f>ROUNDUP(Table2[[#This Row],[ Số lượng trúng thầu ]]*Table2[[#This Row],[Số tháng phát sinh]]/12/Table2[[#This Row],[Số tháng phát sinh]],0)</f>
        <v>125</v>
      </c>
      <c r="AH115" s="34">
        <f>ROUNDUP(Table2[[#This Row],[ Số lượng trúng thầu ]]*Table2[[#This Row],[Số tháng phát sinh]]/12/Table2[[#This Row],[Số tháng phát sinh]],0)</f>
        <v>125</v>
      </c>
      <c r="AI115" s="34">
        <f>ROUNDUP(Table2[[#This Row],[ Số lượng trúng thầu ]]*Table2[[#This Row],[Số tháng phát sinh]]/12/Table2[[#This Row],[Số tháng phát sinh]],0)</f>
        <v>125</v>
      </c>
      <c r="AJ115" s="34">
        <f>ROUNDUP(Table2[[#This Row],[ Số lượng trúng thầu ]]*Table2[[#This Row],[Số tháng phát sinh]]/12/Table2[[#This Row],[Số tháng phát sinh]],0)</f>
        <v>125</v>
      </c>
      <c r="AK115" s="34">
        <f>ROUNDUP(Table2[[#This Row],[ Số lượng trúng thầu ]]*Table2[[#This Row],[Số tháng phát sinh]]/12/Table2[[#This Row],[Số tháng phát sinh]],0)</f>
        <v>125</v>
      </c>
      <c r="AL115" s="34">
        <f>ROUNDUP(Table2[[#This Row],[ Số lượng trúng thầu ]]*Table2[[#This Row],[Số tháng phát sinh]]/12/Table2[[#This Row],[Số tháng phát sinh]],0)</f>
        <v>125</v>
      </c>
      <c r="AM115" s="34">
        <f>ROUNDUP(Table2[[#This Row],[ Số lượng trúng thầu ]]*Table2[[#This Row],[Số tháng phát sinh]]/12/Table2[[#This Row],[Số tháng phát sinh]],0)</f>
        <v>125</v>
      </c>
      <c r="AN115" s="34">
        <f>ROUNDUP(Table2[[#This Row],[ Số lượng trúng thầu ]]*Table2[[#This Row],[Số tháng phát sinh]]/12/Table2[[#This Row],[Số tháng phát sinh]],0)</f>
        <v>125</v>
      </c>
    </row>
    <row r="116" spans="1:40" x14ac:dyDescent="0.35">
      <c r="A116" s="26">
        <v>8</v>
      </c>
      <c r="B116" s="26">
        <v>2025</v>
      </c>
      <c r="C116" s="26" t="s">
        <v>165</v>
      </c>
      <c r="D116" s="26" t="s">
        <v>166</v>
      </c>
      <c r="E116" s="26" t="s">
        <v>167</v>
      </c>
      <c r="F116" s="26" t="s">
        <v>368</v>
      </c>
      <c r="G116" s="26" t="s">
        <v>34</v>
      </c>
      <c r="H116" s="26" t="s">
        <v>176</v>
      </c>
      <c r="I116" s="26" t="s">
        <v>315</v>
      </c>
      <c r="J116" s="31" t="s">
        <v>8</v>
      </c>
      <c r="K116" s="26" t="s">
        <v>186</v>
      </c>
      <c r="L116" s="26" t="s">
        <v>200</v>
      </c>
      <c r="M116" s="26" t="s">
        <v>173</v>
      </c>
      <c r="N116" s="26">
        <v>500</v>
      </c>
      <c r="O116" s="27">
        <v>1200</v>
      </c>
      <c r="P116" s="27">
        <v>290000</v>
      </c>
      <c r="Q116" s="27" t="s">
        <v>183</v>
      </c>
      <c r="R116" s="28">
        <v>260000</v>
      </c>
      <c r="S116" s="29">
        <v>348000000</v>
      </c>
      <c r="T116" s="29">
        <f t="shared" si="4"/>
        <v>312000000</v>
      </c>
      <c r="U116" s="30">
        <v>0.14000000000000001</v>
      </c>
      <c r="V116" s="26" t="s">
        <v>372</v>
      </c>
      <c r="W116" s="31">
        <v>7</v>
      </c>
      <c r="X116" s="28">
        <f t="shared" si="5"/>
        <v>182000000</v>
      </c>
      <c r="Y116" s="32">
        <f>VLOOKUP(Q116,'[3]DATA VALID'!M:O,3,FALSE)</f>
        <v>0.1</v>
      </c>
      <c r="Z116" s="33">
        <f>(R116-VLOOKUP(J116,'[3]DATA VALID'!G:K,5,FALSE))/R116-Y116*1.24</f>
        <v>0.39375923076923069</v>
      </c>
      <c r="AA116" s="33"/>
      <c r="AB116" s="33"/>
      <c r="AC116" s="33"/>
      <c r="AD116" s="33"/>
      <c r="AE116" s="34"/>
      <c r="AF116" s="34">
        <f>ROUNDUP(Table2[[#This Row],[ Số lượng trúng thầu ]]*Table2[[#This Row],[Số tháng phát sinh]]/12/Table2[[#This Row],[Số tháng phát sinh]],0)</f>
        <v>100</v>
      </c>
      <c r="AG116" s="34">
        <f>ROUNDUP(Table2[[#This Row],[ Số lượng trúng thầu ]]*Table2[[#This Row],[Số tháng phát sinh]]/12/Table2[[#This Row],[Số tháng phát sinh]],0)</f>
        <v>100</v>
      </c>
      <c r="AH116" s="34">
        <f>ROUNDUP(Table2[[#This Row],[ Số lượng trúng thầu ]]*Table2[[#This Row],[Số tháng phát sinh]]/12/Table2[[#This Row],[Số tháng phát sinh]],0)</f>
        <v>100</v>
      </c>
      <c r="AI116" s="34">
        <f>ROUNDUP(Table2[[#This Row],[ Số lượng trúng thầu ]]*Table2[[#This Row],[Số tháng phát sinh]]/12/Table2[[#This Row],[Số tháng phát sinh]],0)</f>
        <v>100</v>
      </c>
      <c r="AJ116" s="34">
        <f>ROUNDUP(Table2[[#This Row],[ Số lượng trúng thầu ]]*Table2[[#This Row],[Số tháng phát sinh]]/12/Table2[[#This Row],[Số tháng phát sinh]],0)</f>
        <v>100</v>
      </c>
      <c r="AK116" s="34">
        <f>ROUNDUP(Table2[[#This Row],[ Số lượng trúng thầu ]]*Table2[[#This Row],[Số tháng phát sinh]]/12/Table2[[#This Row],[Số tháng phát sinh]],0)</f>
        <v>100</v>
      </c>
      <c r="AL116" s="34">
        <f>ROUNDUP(Table2[[#This Row],[ Số lượng trúng thầu ]]*Table2[[#This Row],[Số tháng phát sinh]]/12/Table2[[#This Row],[Số tháng phát sinh]],0)</f>
        <v>100</v>
      </c>
      <c r="AM116" s="34">
        <f>ROUNDUP(Table2[[#This Row],[ Số lượng trúng thầu ]]*Table2[[#This Row],[Số tháng phát sinh]]/12/Table2[[#This Row],[Số tháng phát sinh]],0)</f>
        <v>100</v>
      </c>
      <c r="AN116" s="34">
        <f>ROUNDUP(Table2[[#This Row],[ Số lượng trúng thầu ]]*Table2[[#This Row],[Số tháng phát sinh]]/12/Table2[[#This Row],[Số tháng phát sinh]],0)</f>
        <v>100</v>
      </c>
    </row>
    <row r="117" spans="1:40" x14ac:dyDescent="0.35">
      <c r="A117" s="26">
        <v>9</v>
      </c>
      <c r="B117" s="26">
        <v>2025</v>
      </c>
      <c r="C117" s="26" t="s">
        <v>165</v>
      </c>
      <c r="D117" s="26" t="s">
        <v>166</v>
      </c>
      <c r="E117" s="26" t="s">
        <v>167</v>
      </c>
      <c r="F117" s="26" t="s">
        <v>302</v>
      </c>
      <c r="G117" s="26" t="s">
        <v>36</v>
      </c>
      <c r="H117" s="26" t="s">
        <v>176</v>
      </c>
      <c r="I117" s="26" t="s">
        <v>244</v>
      </c>
      <c r="J117" s="31" t="s">
        <v>5</v>
      </c>
      <c r="K117" s="26" t="s">
        <v>171</v>
      </c>
      <c r="L117" s="26" t="s">
        <v>178</v>
      </c>
      <c r="M117" s="26" t="s">
        <v>173</v>
      </c>
      <c r="N117" s="26">
        <v>1000</v>
      </c>
      <c r="O117" s="26">
        <v>300</v>
      </c>
      <c r="P117" s="27">
        <v>577668</v>
      </c>
      <c r="Q117" s="27" t="s">
        <v>183</v>
      </c>
      <c r="R117" s="27">
        <v>530000</v>
      </c>
      <c r="S117" s="29">
        <v>173300400</v>
      </c>
      <c r="T117" s="29">
        <f t="shared" si="4"/>
        <v>159000000</v>
      </c>
      <c r="U117" s="30">
        <v>0.11</v>
      </c>
      <c r="V117" s="26" t="s">
        <v>373</v>
      </c>
      <c r="W117" s="31">
        <v>6</v>
      </c>
      <c r="X117" s="28">
        <f t="shared" si="5"/>
        <v>79500000</v>
      </c>
      <c r="Y117" s="32">
        <f>VLOOKUP(Q117,'[3]DATA VALID'!M:O,3,FALSE)</f>
        <v>0.1</v>
      </c>
      <c r="Z117" s="33">
        <f>(R117-VLOOKUP(J117,'[3]DATA VALID'!G:K,5,FALSE))/R117-Y117*1.24</f>
        <v>0.41266981132075475</v>
      </c>
      <c r="AA117" s="33"/>
      <c r="AB117" s="33"/>
      <c r="AC117" s="33"/>
      <c r="AD117" s="33"/>
      <c r="AE117" s="34"/>
      <c r="AF117" s="34"/>
      <c r="AG117" s="34">
        <f>ROUNDUP(Table2[[#This Row],[ Số lượng trúng thầu ]]*Table2[[#This Row],[Số tháng phát sinh]]/12/Table2[[#This Row],[Số tháng phát sinh]],0)</f>
        <v>25</v>
      </c>
      <c r="AH117" s="34">
        <f>ROUNDUP(Table2[[#This Row],[ Số lượng trúng thầu ]]*Table2[[#This Row],[Số tháng phát sinh]]/12/Table2[[#This Row],[Số tháng phát sinh]],0)</f>
        <v>25</v>
      </c>
      <c r="AI117" s="34">
        <f>ROUNDUP(Table2[[#This Row],[ Số lượng trúng thầu ]]*Table2[[#This Row],[Số tháng phát sinh]]/12/Table2[[#This Row],[Số tháng phát sinh]],0)</f>
        <v>25</v>
      </c>
      <c r="AJ117" s="34">
        <f>ROUNDUP(Table2[[#This Row],[ Số lượng trúng thầu ]]*Table2[[#This Row],[Số tháng phát sinh]]/12/Table2[[#This Row],[Số tháng phát sinh]],0)</f>
        <v>25</v>
      </c>
      <c r="AK117" s="34">
        <f>ROUNDUP(Table2[[#This Row],[ Số lượng trúng thầu ]]*Table2[[#This Row],[Số tháng phát sinh]]/12/Table2[[#This Row],[Số tháng phát sinh]],0)</f>
        <v>25</v>
      </c>
      <c r="AL117" s="34">
        <f>ROUNDUP(Table2[[#This Row],[ Số lượng trúng thầu ]]*Table2[[#This Row],[Số tháng phát sinh]]/12/Table2[[#This Row],[Số tháng phát sinh]],0)</f>
        <v>25</v>
      </c>
      <c r="AM117" s="34">
        <f>ROUNDUP(Table2[[#This Row],[ Số lượng trúng thầu ]]*Table2[[#This Row],[Số tháng phát sinh]]/12/Table2[[#This Row],[Số tháng phát sinh]],0)</f>
        <v>25</v>
      </c>
      <c r="AN117" s="34">
        <f>ROUNDUP(Table2[[#This Row],[ Số lượng trúng thầu ]]*Table2[[#This Row],[Số tháng phát sinh]]/12/Table2[[#This Row],[Số tháng phát sinh]],0)</f>
        <v>25</v>
      </c>
    </row>
    <row r="118" spans="1:40" x14ac:dyDescent="0.35">
      <c r="A118" s="26">
        <v>9</v>
      </c>
      <c r="B118" s="26">
        <v>2025</v>
      </c>
      <c r="C118" s="26" t="s">
        <v>165</v>
      </c>
      <c r="D118" s="26" t="s">
        <v>166</v>
      </c>
      <c r="E118" s="26" t="s">
        <v>167</v>
      </c>
      <c r="F118" s="26" t="s">
        <v>302</v>
      </c>
      <c r="G118" s="26" t="s">
        <v>36</v>
      </c>
      <c r="H118" s="26" t="s">
        <v>176</v>
      </c>
      <c r="I118" s="26" t="s">
        <v>241</v>
      </c>
      <c r="J118" s="31" t="s">
        <v>6</v>
      </c>
      <c r="K118" s="26" t="s">
        <v>171</v>
      </c>
      <c r="L118" s="26" t="s">
        <v>178</v>
      </c>
      <c r="M118" s="26" t="s">
        <v>173</v>
      </c>
      <c r="N118" s="26">
        <v>1000</v>
      </c>
      <c r="O118" s="27">
        <v>1000</v>
      </c>
      <c r="P118" s="27">
        <v>440000</v>
      </c>
      <c r="Q118" s="27" t="s">
        <v>183</v>
      </c>
      <c r="R118" s="28">
        <v>440000</v>
      </c>
      <c r="S118" s="29">
        <v>440000000</v>
      </c>
      <c r="T118" s="29">
        <f t="shared" si="4"/>
        <v>440000000</v>
      </c>
      <c r="U118" s="30">
        <v>0.28000000000000003</v>
      </c>
      <c r="V118" s="26" t="s">
        <v>374</v>
      </c>
      <c r="W118" s="31">
        <v>6</v>
      </c>
      <c r="X118" s="28">
        <f t="shared" si="5"/>
        <v>220000000</v>
      </c>
      <c r="Y118" s="32">
        <f>VLOOKUP(Q118,'[3]DATA VALID'!M:O,3,FALSE)</f>
        <v>0.1</v>
      </c>
      <c r="Z118" s="33">
        <f>(R118-VLOOKUP(J118,'[3]DATA VALID'!G:K,5,FALSE))/R118-Y118*1.24</f>
        <v>0.40493249999999992</v>
      </c>
      <c r="AA118" s="33"/>
      <c r="AB118" s="33"/>
      <c r="AC118" s="33"/>
      <c r="AD118" s="33"/>
      <c r="AE118" s="34"/>
      <c r="AF118" s="34"/>
      <c r="AG118" s="34">
        <f>ROUNDUP(Table2[[#This Row],[ Số lượng trúng thầu ]]*Table2[[#This Row],[Số tháng phát sinh]]/12/Table2[[#This Row],[Số tháng phát sinh]],0)</f>
        <v>84</v>
      </c>
      <c r="AH118" s="34">
        <f>ROUNDUP(Table2[[#This Row],[ Số lượng trúng thầu ]]*Table2[[#This Row],[Số tháng phát sinh]]/12/Table2[[#This Row],[Số tháng phát sinh]],0)</f>
        <v>84</v>
      </c>
      <c r="AI118" s="34">
        <f>ROUNDUP(Table2[[#This Row],[ Số lượng trúng thầu ]]*Table2[[#This Row],[Số tháng phát sinh]]/12/Table2[[#This Row],[Số tháng phát sinh]],0)</f>
        <v>84</v>
      </c>
      <c r="AJ118" s="34">
        <f>ROUNDUP(Table2[[#This Row],[ Số lượng trúng thầu ]]*Table2[[#This Row],[Số tháng phát sinh]]/12/Table2[[#This Row],[Số tháng phát sinh]],0)</f>
        <v>84</v>
      </c>
      <c r="AK118" s="34">
        <f>ROUNDUP(Table2[[#This Row],[ Số lượng trúng thầu ]]*Table2[[#This Row],[Số tháng phát sinh]]/12/Table2[[#This Row],[Số tháng phát sinh]],0)</f>
        <v>84</v>
      </c>
      <c r="AL118" s="34">
        <f>ROUNDUP(Table2[[#This Row],[ Số lượng trúng thầu ]]*Table2[[#This Row],[Số tháng phát sinh]]/12/Table2[[#This Row],[Số tháng phát sinh]],0)</f>
        <v>84</v>
      </c>
      <c r="AM118" s="34">
        <f>ROUNDUP(Table2[[#This Row],[ Số lượng trúng thầu ]]*Table2[[#This Row],[Số tháng phát sinh]]/12/Table2[[#This Row],[Số tháng phát sinh]],0)</f>
        <v>84</v>
      </c>
      <c r="AN118" s="34">
        <f>ROUNDUP(Table2[[#This Row],[ Số lượng trúng thầu ]]*Table2[[#This Row],[Số tháng phát sinh]]/12/Table2[[#This Row],[Số tháng phát sinh]],0)</f>
        <v>84</v>
      </c>
    </row>
    <row r="119" spans="1:40" x14ac:dyDescent="0.35">
      <c r="A119" s="26">
        <v>9</v>
      </c>
      <c r="B119" s="26">
        <v>2025</v>
      </c>
      <c r="C119" s="26" t="s">
        <v>165</v>
      </c>
      <c r="D119" s="26" t="s">
        <v>166</v>
      </c>
      <c r="E119" s="26" t="s">
        <v>167</v>
      </c>
      <c r="F119" s="26" t="s">
        <v>302</v>
      </c>
      <c r="G119" s="26" t="s">
        <v>36</v>
      </c>
      <c r="H119" s="26" t="s">
        <v>176</v>
      </c>
      <c r="I119" s="26" t="s">
        <v>246</v>
      </c>
      <c r="J119" s="26" t="s">
        <v>11</v>
      </c>
      <c r="K119" s="26" t="s">
        <v>171</v>
      </c>
      <c r="L119" s="26" t="s">
        <v>172</v>
      </c>
      <c r="M119" s="26" t="s">
        <v>173</v>
      </c>
      <c r="N119" s="26">
        <v>1000</v>
      </c>
      <c r="O119" s="26">
        <v>800</v>
      </c>
      <c r="P119" s="27">
        <v>92000</v>
      </c>
      <c r="Q119" s="27" t="s">
        <v>183</v>
      </c>
      <c r="R119" s="28">
        <f>428925/5</f>
        <v>85785</v>
      </c>
      <c r="S119" s="29">
        <v>73600000</v>
      </c>
      <c r="T119" s="29">
        <f t="shared" si="4"/>
        <v>68628000</v>
      </c>
      <c r="U119" s="30">
        <v>0.05</v>
      </c>
      <c r="V119" s="26" t="s">
        <v>375</v>
      </c>
      <c r="W119" s="31">
        <v>6</v>
      </c>
      <c r="X119" s="28">
        <f t="shared" si="5"/>
        <v>34314000</v>
      </c>
      <c r="Y119" s="32">
        <f>VLOOKUP(Q119,'[3]DATA VALID'!M:O,3,FALSE)</f>
        <v>0.1</v>
      </c>
      <c r="Z119" s="33">
        <f>(R119*5-VLOOKUP(J119,'[3]DATA VALID'!G:K,5,FALSE))/(R119*5)-Y119*1.24</f>
        <v>0.42921559713236579</v>
      </c>
      <c r="AA119" s="33"/>
      <c r="AB119" s="33"/>
      <c r="AC119" s="33"/>
      <c r="AD119" s="33"/>
      <c r="AE119" s="34"/>
      <c r="AF119" s="34"/>
      <c r="AG119" s="34">
        <f>ROUNDUP(Table2[[#This Row],[ Số lượng trúng thầu ]]*Table2[[#This Row],[Số tháng phát sinh]]/12/Table2[[#This Row],[Số tháng phát sinh]],0)</f>
        <v>67</v>
      </c>
      <c r="AH119" s="34">
        <f>ROUNDUP(Table2[[#This Row],[ Số lượng trúng thầu ]]*Table2[[#This Row],[Số tháng phát sinh]]/12/Table2[[#This Row],[Số tháng phát sinh]],0)</f>
        <v>67</v>
      </c>
      <c r="AI119" s="34">
        <f>ROUNDUP(Table2[[#This Row],[ Số lượng trúng thầu ]]*Table2[[#This Row],[Số tháng phát sinh]]/12/Table2[[#This Row],[Số tháng phát sinh]],0)</f>
        <v>67</v>
      </c>
      <c r="AJ119" s="34">
        <f>ROUNDUP(Table2[[#This Row],[ Số lượng trúng thầu ]]*Table2[[#This Row],[Số tháng phát sinh]]/12/Table2[[#This Row],[Số tháng phát sinh]],0)</f>
        <v>67</v>
      </c>
      <c r="AK119" s="34">
        <f>ROUNDUP(Table2[[#This Row],[ Số lượng trúng thầu ]]*Table2[[#This Row],[Số tháng phát sinh]]/12/Table2[[#This Row],[Số tháng phát sinh]],0)</f>
        <v>67</v>
      </c>
      <c r="AL119" s="34">
        <f>ROUNDUP(Table2[[#This Row],[ Số lượng trúng thầu ]]*Table2[[#This Row],[Số tháng phát sinh]]/12/Table2[[#This Row],[Số tháng phát sinh]],0)</f>
        <v>67</v>
      </c>
      <c r="AM119" s="34">
        <f>ROUNDUP(Table2[[#This Row],[ Số lượng trúng thầu ]]*Table2[[#This Row],[Số tháng phát sinh]]/12/Table2[[#This Row],[Số tháng phát sinh]],0)</f>
        <v>67</v>
      </c>
      <c r="AN119" s="34">
        <f>ROUNDUP(Table2[[#This Row],[ Số lượng trúng thầu ]]*Table2[[#This Row],[Số tháng phát sinh]]/12/Table2[[#This Row],[Số tháng phát sinh]],0)</f>
        <v>67</v>
      </c>
    </row>
    <row r="120" spans="1:40" x14ac:dyDescent="0.35">
      <c r="A120" s="26">
        <v>9</v>
      </c>
      <c r="B120" s="26">
        <v>2025</v>
      </c>
      <c r="C120" s="26" t="s">
        <v>165</v>
      </c>
      <c r="D120" s="26" t="s">
        <v>166</v>
      </c>
      <c r="E120" s="26" t="s">
        <v>167</v>
      </c>
      <c r="F120" s="26" t="s">
        <v>302</v>
      </c>
      <c r="G120" s="26" t="s">
        <v>36</v>
      </c>
      <c r="H120" s="26" t="s">
        <v>176</v>
      </c>
      <c r="I120" s="26" t="s">
        <v>369</v>
      </c>
      <c r="J120" s="26" t="s">
        <v>4</v>
      </c>
      <c r="K120" s="26" t="s">
        <v>171</v>
      </c>
      <c r="L120" s="26" t="s">
        <v>172</v>
      </c>
      <c r="M120" s="26" t="s">
        <v>173</v>
      </c>
      <c r="N120" s="26">
        <v>1000</v>
      </c>
      <c r="O120" s="27">
        <v>1500</v>
      </c>
      <c r="P120" s="27">
        <v>220000</v>
      </c>
      <c r="Q120" s="27" t="s">
        <v>183</v>
      </c>
      <c r="R120" s="28">
        <f>980000/5</f>
        <v>196000</v>
      </c>
      <c r="S120" s="29">
        <v>330000000</v>
      </c>
      <c r="T120" s="29">
        <f t="shared" si="4"/>
        <v>294000000</v>
      </c>
      <c r="U120" s="30">
        <v>0.21</v>
      </c>
      <c r="V120" s="26" t="s">
        <v>376</v>
      </c>
      <c r="W120" s="31">
        <v>6</v>
      </c>
      <c r="X120" s="28">
        <f t="shared" si="5"/>
        <v>147000000</v>
      </c>
      <c r="Y120" s="32">
        <f>VLOOKUP(Q120,'[3]DATA VALID'!M:O,3,FALSE)</f>
        <v>0.1</v>
      </c>
      <c r="Z120" s="33">
        <f>(R120*5-VLOOKUP(J120,'[3]DATA VALID'!G:K,5,FALSE))/(R120*5)-Y120*1.24</f>
        <v>0.37779489795918364</v>
      </c>
      <c r="AA120" s="33"/>
      <c r="AB120" s="33"/>
      <c r="AC120" s="33"/>
      <c r="AD120" s="33"/>
      <c r="AE120" s="34"/>
      <c r="AF120" s="34"/>
      <c r="AG120" s="34">
        <f>ROUNDUP(Table2[[#This Row],[ Số lượng trúng thầu ]]*Table2[[#This Row],[Số tháng phát sinh]]/12/Table2[[#This Row],[Số tháng phát sinh]],0)</f>
        <v>125</v>
      </c>
      <c r="AH120" s="34">
        <f>ROUNDUP(Table2[[#This Row],[ Số lượng trúng thầu ]]*Table2[[#This Row],[Số tháng phát sinh]]/12/Table2[[#This Row],[Số tháng phát sinh]],0)</f>
        <v>125</v>
      </c>
      <c r="AI120" s="34">
        <f>ROUNDUP(Table2[[#This Row],[ Số lượng trúng thầu ]]*Table2[[#This Row],[Số tháng phát sinh]]/12/Table2[[#This Row],[Số tháng phát sinh]],0)</f>
        <v>125</v>
      </c>
      <c r="AJ120" s="34">
        <f>ROUNDUP(Table2[[#This Row],[ Số lượng trúng thầu ]]*Table2[[#This Row],[Số tháng phát sinh]]/12/Table2[[#This Row],[Số tháng phát sinh]],0)</f>
        <v>125</v>
      </c>
      <c r="AK120" s="34">
        <f>ROUNDUP(Table2[[#This Row],[ Số lượng trúng thầu ]]*Table2[[#This Row],[Số tháng phát sinh]]/12/Table2[[#This Row],[Số tháng phát sinh]],0)</f>
        <v>125</v>
      </c>
      <c r="AL120" s="34">
        <f>ROUNDUP(Table2[[#This Row],[ Số lượng trúng thầu ]]*Table2[[#This Row],[Số tháng phát sinh]]/12/Table2[[#This Row],[Số tháng phát sinh]],0)</f>
        <v>125</v>
      </c>
      <c r="AM120" s="34">
        <f>ROUNDUP(Table2[[#This Row],[ Số lượng trúng thầu ]]*Table2[[#This Row],[Số tháng phát sinh]]/12/Table2[[#This Row],[Số tháng phát sinh]],0)</f>
        <v>125</v>
      </c>
      <c r="AN120" s="34">
        <f>ROUNDUP(Table2[[#This Row],[ Số lượng trúng thầu ]]*Table2[[#This Row],[Số tháng phát sinh]]/12/Table2[[#This Row],[Số tháng phát sinh]],0)</f>
        <v>125</v>
      </c>
    </row>
    <row r="121" spans="1:40" x14ac:dyDescent="0.35">
      <c r="A121" s="26">
        <v>9</v>
      </c>
      <c r="B121" s="26">
        <v>2025</v>
      </c>
      <c r="C121" s="26" t="s">
        <v>165</v>
      </c>
      <c r="D121" s="26" t="s">
        <v>166</v>
      </c>
      <c r="E121" s="26" t="s">
        <v>167</v>
      </c>
      <c r="F121" s="26" t="s">
        <v>302</v>
      </c>
      <c r="G121" s="26" t="s">
        <v>36</v>
      </c>
      <c r="H121" s="26" t="s">
        <v>176</v>
      </c>
      <c r="I121" s="26" t="s">
        <v>377</v>
      </c>
      <c r="J121" s="31" t="s">
        <v>10</v>
      </c>
      <c r="K121" s="26" t="s">
        <v>186</v>
      </c>
      <c r="L121" s="26" t="s">
        <v>200</v>
      </c>
      <c r="M121" s="26" t="s">
        <v>173</v>
      </c>
      <c r="N121" s="26">
        <v>750</v>
      </c>
      <c r="O121" s="26">
        <v>200</v>
      </c>
      <c r="P121" s="27">
        <v>400260</v>
      </c>
      <c r="Q121" s="27" t="s">
        <v>183</v>
      </c>
      <c r="R121" s="28">
        <v>360000</v>
      </c>
      <c r="S121" s="29">
        <v>80052000</v>
      </c>
      <c r="T121" s="29">
        <f t="shared" si="4"/>
        <v>72000000</v>
      </c>
      <c r="U121" s="30">
        <v>0.05</v>
      </c>
      <c r="V121" s="26" t="s">
        <v>378</v>
      </c>
      <c r="W121" s="31">
        <v>6</v>
      </c>
      <c r="X121" s="28">
        <f t="shared" si="5"/>
        <v>36000000</v>
      </c>
      <c r="Y121" s="32">
        <f>VLOOKUP(Q121,'[3]DATA VALID'!M:O,3,FALSE)</f>
        <v>0.1</v>
      </c>
      <c r="Z121" s="33">
        <f>(R121-VLOOKUP(J121,'[3]DATA VALID'!G:K,5,FALSE))/R121-Y121*1.24</f>
        <v>0.56480833333333336</v>
      </c>
      <c r="AA121" s="33"/>
      <c r="AB121" s="33"/>
      <c r="AC121" s="33"/>
      <c r="AD121" s="33"/>
      <c r="AE121" s="34"/>
      <c r="AF121" s="34"/>
      <c r="AG121" s="34">
        <f>ROUNDUP(Table2[[#This Row],[ Số lượng trúng thầu ]]*Table2[[#This Row],[Số tháng phát sinh]]/12/Table2[[#This Row],[Số tháng phát sinh]],0)</f>
        <v>17</v>
      </c>
      <c r="AH121" s="34">
        <f>ROUNDUP(Table2[[#This Row],[ Số lượng trúng thầu ]]*Table2[[#This Row],[Số tháng phát sinh]]/12/Table2[[#This Row],[Số tháng phát sinh]],0)</f>
        <v>17</v>
      </c>
      <c r="AI121" s="34">
        <f>ROUNDUP(Table2[[#This Row],[ Số lượng trúng thầu ]]*Table2[[#This Row],[Số tháng phát sinh]]/12/Table2[[#This Row],[Số tháng phát sinh]],0)</f>
        <v>17</v>
      </c>
      <c r="AJ121" s="34">
        <f>ROUNDUP(Table2[[#This Row],[ Số lượng trúng thầu ]]*Table2[[#This Row],[Số tháng phát sinh]]/12/Table2[[#This Row],[Số tháng phát sinh]],0)</f>
        <v>17</v>
      </c>
      <c r="AK121" s="34">
        <f>ROUNDUP(Table2[[#This Row],[ Số lượng trúng thầu ]]*Table2[[#This Row],[Số tháng phát sinh]]/12/Table2[[#This Row],[Số tháng phát sinh]],0)</f>
        <v>17</v>
      </c>
      <c r="AL121" s="34">
        <f>ROUNDUP(Table2[[#This Row],[ Số lượng trúng thầu ]]*Table2[[#This Row],[Số tháng phát sinh]]/12/Table2[[#This Row],[Số tháng phát sinh]],0)</f>
        <v>17</v>
      </c>
      <c r="AM121" s="34">
        <f>ROUNDUP(Table2[[#This Row],[ Số lượng trúng thầu ]]*Table2[[#This Row],[Số tháng phát sinh]]/12/Table2[[#This Row],[Số tháng phát sinh]],0)</f>
        <v>17</v>
      </c>
      <c r="AN121" s="34">
        <f>ROUNDUP(Table2[[#This Row],[ Số lượng trúng thầu ]]*Table2[[#This Row],[Số tháng phát sinh]]/12/Table2[[#This Row],[Số tháng phát sinh]],0)</f>
        <v>17</v>
      </c>
    </row>
    <row r="122" spans="1:40" x14ac:dyDescent="0.35">
      <c r="A122" s="35"/>
      <c r="B122" s="36"/>
      <c r="C122" s="36"/>
      <c r="D122" s="36"/>
      <c r="E122" s="36"/>
      <c r="F122" s="36"/>
      <c r="G122" s="37" t="s">
        <v>17</v>
      </c>
      <c r="H122" s="31"/>
      <c r="I122" s="36"/>
      <c r="J122" s="26" t="s">
        <v>4</v>
      </c>
      <c r="K122" s="26" t="s">
        <v>171</v>
      </c>
      <c r="L122" s="26" t="s">
        <v>172</v>
      </c>
      <c r="M122" s="26" t="s">
        <v>173</v>
      </c>
      <c r="N122" s="26">
        <v>5000</v>
      </c>
      <c r="O122" s="27">
        <v>700</v>
      </c>
      <c r="P122" s="31"/>
      <c r="Q122" s="38" t="s">
        <v>183</v>
      </c>
      <c r="R122" s="28">
        <v>980000</v>
      </c>
      <c r="S122" s="31"/>
      <c r="T122" s="29">
        <f t="shared" si="4"/>
        <v>686000000</v>
      </c>
      <c r="U122" s="31"/>
      <c r="V122" s="36"/>
      <c r="W122" s="31">
        <v>12</v>
      </c>
      <c r="X122" s="28">
        <f>T122*W122/12</f>
        <v>686000000</v>
      </c>
      <c r="Y122" s="32">
        <f>VLOOKUP(Q122,'[3]DATA VALID'!M:O,3,FALSE)</f>
        <v>0.1</v>
      </c>
      <c r="Z122" s="33">
        <f>(R122-VLOOKUP(J122,'[3]DATA VALID'!G:K,5,FALSE))/R122-Y122*1.24</f>
        <v>0.37779489795918364</v>
      </c>
      <c r="AA122" s="61">
        <f>ROUNDUP(Table2[[#This Row],[ Số lượng trúng thầu ]]*Table2[[#This Row],[Số tháng phát sinh]]/12/Table2[[#This Row],[Số tháng phát sinh]],0)</f>
        <v>59</v>
      </c>
      <c r="AB122" s="61">
        <f>ROUNDUP(Table2[[#This Row],[ Số lượng trúng thầu ]]*Table2[[#This Row],[Số tháng phát sinh]]/12/Table2[[#This Row],[Số tháng phát sinh]],0)</f>
        <v>59</v>
      </c>
      <c r="AC122" s="61">
        <f>ROUNDUP(Table2[[#This Row],[ Số lượng trúng thầu ]]*Table2[[#This Row],[Số tháng phát sinh]]/12/Table2[[#This Row],[Số tháng phát sinh]],0)</f>
        <v>59</v>
      </c>
      <c r="AD122" s="61">
        <f>ROUNDUP(Table2[[#This Row],[ Số lượng trúng thầu ]]*Table2[[#This Row],[Số tháng phát sinh]]/12/Table2[[#This Row],[Số tháng phát sinh]],0)</f>
        <v>59</v>
      </c>
      <c r="AE122" s="34">
        <f>ROUNDUP(Table2[[#This Row],[ Số lượng trúng thầu ]]*Table2[[#This Row],[Số tháng phát sinh]]/12/Table2[[#This Row],[Số tháng phát sinh]],0)</f>
        <v>59</v>
      </c>
      <c r="AF122" s="34">
        <f>ROUNDUP(Table2[[#This Row],[ Số lượng trúng thầu ]]*Table2[[#This Row],[Số tháng phát sinh]]/12/Table2[[#This Row],[Số tháng phát sinh]],0)</f>
        <v>59</v>
      </c>
      <c r="AG122" s="34">
        <f>ROUNDUP(Table2[[#This Row],[ Số lượng trúng thầu ]]*Table2[[#This Row],[Số tháng phát sinh]]/12/Table2[[#This Row],[Số tháng phát sinh]],0)</f>
        <v>59</v>
      </c>
      <c r="AH122" s="34">
        <f>ROUNDUP(Table2[[#This Row],[ Số lượng trúng thầu ]]*Table2[[#This Row],[Số tháng phát sinh]]/12/Table2[[#This Row],[Số tháng phát sinh]],0)</f>
        <v>59</v>
      </c>
      <c r="AI122" s="34">
        <f>ROUNDUP(Table2[[#This Row],[ Số lượng trúng thầu ]]*Table2[[#This Row],[Số tháng phát sinh]]/12/Table2[[#This Row],[Số tháng phát sinh]],0)</f>
        <v>59</v>
      </c>
      <c r="AJ122" s="34">
        <f>ROUNDUP(Table2[[#This Row],[ Số lượng trúng thầu ]]*Table2[[#This Row],[Số tháng phát sinh]]/12/Table2[[#This Row],[Số tháng phát sinh]],0)</f>
        <v>59</v>
      </c>
      <c r="AK122" s="34">
        <f>ROUNDUP(Table2[[#This Row],[ Số lượng trúng thầu ]]*Table2[[#This Row],[Số tháng phát sinh]]/12/Table2[[#This Row],[Số tháng phát sinh]],0)</f>
        <v>59</v>
      </c>
      <c r="AL122" s="34">
        <f>ROUNDUP(Table2[[#This Row],[ Số lượng trúng thầu ]]*Table2[[#This Row],[Số tháng phát sinh]]/12/Table2[[#This Row],[Số tháng phát sinh]],0)</f>
        <v>59</v>
      </c>
      <c r="AM122" s="34">
        <f>ROUNDUP(Table2[[#This Row],[ Số lượng trúng thầu ]]*Table2[[#This Row],[Số tháng phát sinh]]/12/Table2[[#This Row],[Số tháng phát sinh]],0)</f>
        <v>59</v>
      </c>
      <c r="AN122" s="34">
        <f>ROUNDUP(Table2[[#This Row],[ Số lượng trúng thầu ]]*Table2[[#This Row],[Số tháng phát sinh]]/12/Table2[[#This Row],[Số tháng phát sinh]],0)</f>
        <v>59</v>
      </c>
    </row>
    <row r="123" spans="1:40" x14ac:dyDescent="0.35">
      <c r="A123" s="39"/>
      <c r="B123" s="40"/>
      <c r="C123" s="40"/>
      <c r="D123" s="40"/>
      <c r="E123" s="40"/>
      <c r="F123" s="40"/>
      <c r="G123" s="41" t="s">
        <v>62</v>
      </c>
      <c r="H123" s="42"/>
      <c r="I123" s="40"/>
      <c r="J123" s="43" t="s">
        <v>10</v>
      </c>
      <c r="K123" s="44" t="s">
        <v>186</v>
      </c>
      <c r="L123" s="44" t="s">
        <v>200</v>
      </c>
      <c r="M123" s="44" t="s">
        <v>173</v>
      </c>
      <c r="N123" s="44">
        <v>750</v>
      </c>
      <c r="O123" s="45">
        <v>500</v>
      </c>
      <c r="P123" s="42"/>
      <c r="Q123" s="46" t="s">
        <v>183</v>
      </c>
      <c r="R123" s="47">
        <v>360000</v>
      </c>
      <c r="S123" s="42"/>
      <c r="T123" s="48">
        <f t="shared" si="4"/>
        <v>180000000</v>
      </c>
      <c r="U123" s="42"/>
      <c r="V123" s="40"/>
      <c r="W123" s="42">
        <v>12</v>
      </c>
      <c r="X123" s="47">
        <f t="shared" ref="X123" si="6">T123*W123/12</f>
        <v>180000000</v>
      </c>
      <c r="Y123" s="49">
        <f>VLOOKUP(Q123,'[3]DATA VALID'!M:O,3,FALSE)</f>
        <v>0.1</v>
      </c>
      <c r="Z123" s="50">
        <f>(R123-VLOOKUP(J123,'[3]DATA VALID'!G:K,5,FALSE))/R123-Y123*1.24</f>
        <v>0.56480833333333336</v>
      </c>
      <c r="AA123" s="61">
        <f>ROUNDUP(Table2[[#This Row],[ Số lượng trúng thầu ]]*Table2[[#This Row],[Số tháng phát sinh]]/12/Table2[[#This Row],[Số tháng phát sinh]],0)</f>
        <v>42</v>
      </c>
      <c r="AB123" s="61">
        <f>ROUNDUP(Table2[[#This Row],[ Số lượng trúng thầu ]]*Table2[[#This Row],[Số tháng phát sinh]]/12/Table2[[#This Row],[Số tháng phát sinh]],0)</f>
        <v>42</v>
      </c>
      <c r="AC123" s="61">
        <f>ROUNDUP(Table2[[#This Row],[ Số lượng trúng thầu ]]*Table2[[#This Row],[Số tháng phát sinh]]/12/Table2[[#This Row],[Số tháng phát sinh]],0)</f>
        <v>42</v>
      </c>
      <c r="AD123" s="61">
        <f>ROUNDUP(Table2[[#This Row],[ Số lượng trúng thầu ]]*Table2[[#This Row],[Số tháng phát sinh]]/12/Table2[[#This Row],[Số tháng phát sinh]],0)</f>
        <v>42</v>
      </c>
      <c r="AE123" s="34">
        <f>ROUNDUP(Table2[[#This Row],[ Số lượng trúng thầu ]]*Table2[[#This Row],[Số tháng phát sinh]]/12/Table2[[#This Row],[Số tháng phát sinh]],0)</f>
        <v>42</v>
      </c>
      <c r="AF123" s="34">
        <f>ROUNDUP(Table2[[#This Row],[ Số lượng trúng thầu ]]*Table2[[#This Row],[Số tháng phát sinh]]/12/Table2[[#This Row],[Số tháng phát sinh]],0)</f>
        <v>42</v>
      </c>
      <c r="AG123" s="34">
        <f>ROUNDUP(Table2[[#This Row],[ Số lượng trúng thầu ]]*Table2[[#This Row],[Số tháng phát sinh]]/12/Table2[[#This Row],[Số tháng phát sinh]],0)</f>
        <v>42</v>
      </c>
      <c r="AH123" s="34">
        <f>ROUNDUP(Table2[[#This Row],[ Số lượng trúng thầu ]]*Table2[[#This Row],[Số tháng phát sinh]]/12/Table2[[#This Row],[Số tháng phát sinh]],0)</f>
        <v>42</v>
      </c>
      <c r="AI123" s="34">
        <f>ROUNDUP(Table2[[#This Row],[ Số lượng trúng thầu ]]*Table2[[#This Row],[Số tháng phát sinh]]/12/Table2[[#This Row],[Số tháng phát sinh]],0)</f>
        <v>42</v>
      </c>
      <c r="AJ123" s="34">
        <f>ROUNDUP(Table2[[#This Row],[ Số lượng trúng thầu ]]*Table2[[#This Row],[Số tháng phát sinh]]/12/Table2[[#This Row],[Số tháng phát sinh]],0)</f>
        <v>42</v>
      </c>
      <c r="AK123" s="34">
        <f>ROUNDUP(Table2[[#This Row],[ Số lượng trúng thầu ]]*Table2[[#This Row],[Số tháng phát sinh]]/12/Table2[[#This Row],[Số tháng phát sinh]],0)</f>
        <v>42</v>
      </c>
      <c r="AL123" s="34">
        <f>ROUNDUP(Table2[[#This Row],[ Số lượng trúng thầu ]]*Table2[[#This Row],[Số tháng phát sinh]]/12/Table2[[#This Row],[Số tháng phát sinh]],0)</f>
        <v>42</v>
      </c>
      <c r="AM123" s="34">
        <f>ROUNDUP(Table2[[#This Row],[ Số lượng trúng thầu ]]*Table2[[#This Row],[Số tháng phát sinh]]/12/Table2[[#This Row],[Số tháng phát sinh]],0)</f>
        <v>42</v>
      </c>
      <c r="AN123" s="34">
        <f>ROUNDUP(Table2[[#This Row],[ Số lượng trúng thầu ]]*Table2[[#This Row],[Số tháng phát sinh]]/12/Table2[[#This Row],[Số tháng phát sinh]],0)</f>
        <v>42</v>
      </c>
    </row>
  </sheetData>
  <protectedRanges>
    <protectedRange sqref="J7 J11 J31 J41 J58 J72 J81 J108:J109" name="Range2_1_1"/>
    <protectedRange sqref="J73" name="Range2_1_2"/>
    <protectedRange sqref="J80" name="Range2_1_5"/>
    <protectedRange sqref="J116" name="Range2_1_6"/>
    <protectedRange sqref="J10 J48 J52 J67 J88 J95 J121 J123" name="Range2_1_7"/>
  </protectedRanges>
  <phoneticPr fontId="11" type="noConversion"/>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DK đặt hàng</vt:lpstr>
      <vt:lpstr>NXT</vt:lpstr>
      <vt:lpstr>Tồn kho</vt:lpstr>
      <vt:lpstr>Output</vt:lpstr>
      <vt:lpstr>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Louis Tran</dc:creator>
  <cp:lastModifiedBy>Louis Tran</cp:lastModifiedBy>
  <dcterms:created xsi:type="dcterms:W3CDTF">2026-03-19T13:28:42Z</dcterms:created>
  <dcterms:modified xsi:type="dcterms:W3CDTF">2026-03-19T15:30:51Z</dcterms:modified>
</cp:coreProperties>
</file>